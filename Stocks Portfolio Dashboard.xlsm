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anvir Singh\OneDrive - wgrschools.wgrschools\Desktop\"/>
    </mc:Choice>
  </mc:AlternateContent>
  <xr:revisionPtr revIDLastSave="0" documentId="13_ncr:1_{7E49DAE5-F9A1-46B2-84D0-E12510788DE1}" xr6:coauthVersionLast="47" xr6:coauthVersionMax="47" xr10:uidLastSave="{00000000-0000-0000-0000-000000000000}"/>
  <bookViews>
    <workbookView xWindow="-98" yWindow="-98" windowWidth="22695" windowHeight="14476" activeTab="1" xr2:uid="{03B0C33C-CEB1-4216-B461-3C4016B38CE3}"/>
  </bookViews>
  <sheets>
    <sheet name="ReadMe" sheetId="8" r:id="rId1"/>
    <sheet name="Overall" sheetId="1" r:id="rId2"/>
    <sheet name="Ledger" sheetId="2" r:id="rId3"/>
    <sheet name="Jake" sheetId="3" r:id="rId4"/>
    <sheet name="Charles" sheetId="7" r:id="rId5"/>
    <sheet name="Rosa" sheetId="6" r:id="rId6"/>
    <sheet name="Terry" sheetId="5" r:id="rId7"/>
  </sheets>
  <definedNames>
    <definedName name="_xlnm._FilterDatabase" localSheetId="2" hidden="1">Ledger!$A$4:$H$500</definedName>
    <definedName name="_xlnm.Criteria" localSheetId="2">Ledger!$AQ$1:$AT$2</definedName>
    <definedName name="_xlnm.Extract" localSheetId="2">Ledger!$AO$4:$AV$4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7" i="2" l="1"/>
  <c r="F28" i="2"/>
  <c r="F29" i="2"/>
  <c r="F38" i="2"/>
  <c r="F26" i="2"/>
  <c r="F25" i="2"/>
  <c r="J2" i="1" a="1"/>
  <c r="J2" i="1" s="1"/>
  <c r="J2" i="3" a="1"/>
  <c r="J2" i="3" s="1"/>
  <c r="J2" i="7" a="1"/>
  <c r="J2" i="7" s="1"/>
  <c r="J2" i="6" a="1"/>
  <c r="J2" i="6" s="1"/>
  <c r="J2" i="5" a="1"/>
  <c r="J2" i="5" s="1"/>
  <c r="E24" i="2"/>
  <c r="E23" i="2"/>
  <c r="E22" i="2"/>
  <c r="E21" i="2"/>
  <c r="E16" i="2"/>
  <c r="E15" i="2"/>
  <c r="E28" i="2"/>
  <c r="E29" i="2"/>
  <c r="E27" i="2"/>
  <c r="E26" i="2"/>
  <c r="E37" i="2"/>
  <c r="E36" i="2"/>
  <c r="E33" i="2"/>
  <c r="E31" i="2"/>
  <c r="E11" i="2"/>
  <c r="E12" i="2"/>
  <c r="E13" i="2"/>
  <c r="E10" i="2"/>
  <c r="E9" i="2"/>
  <c r="E8" i="2"/>
  <c r="E42" i="2"/>
  <c r="E43" i="2"/>
  <c r="E44" i="2"/>
  <c r="E34" i="2"/>
  <c r="E35" i="2"/>
  <c r="E38" i="2"/>
  <c r="E39" i="2"/>
  <c r="E40" i="2"/>
  <c r="E41" i="2"/>
  <c r="E25" i="2"/>
  <c r="E14" i="2"/>
  <c r="E20" i="2"/>
  <c r="E18" i="2"/>
  <c r="G47" i="2"/>
  <c r="G48" i="2"/>
  <c r="G49" i="2"/>
  <c r="G45" i="2"/>
  <c r="G46" i="2"/>
  <c r="A6" i="7" a="1"/>
  <c r="A6" i="7" s="1"/>
  <c r="A6" i="6" a="1"/>
  <c r="A6" i="6" s="1"/>
  <c r="A6" i="5" a="1"/>
  <c r="A6" i="5" s="1"/>
  <c r="A6" i="3" a="1"/>
  <c r="A6" i="3" s="1"/>
  <c r="C6" i="3" s="1" a="1"/>
  <c r="C6" i="3" s="1"/>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50" i="2"/>
  <c r="C6" i="7" l="1" a="1"/>
  <c r="C6" i="7" s="1"/>
  <c r="B6" i="7" a="1"/>
  <c r="B6" i="7" s="1"/>
  <c r="D6" i="7" a="1"/>
  <c r="D6" i="7" s="1"/>
  <c r="C6" i="5" a="1"/>
  <c r="C6" i="5" s="1"/>
  <c r="C6" i="6" a="1"/>
  <c r="C6" i="6" s="1"/>
  <c r="B6" i="6" a="1"/>
  <c r="B6" i="6" s="1"/>
  <c r="D6" i="6" a="1"/>
  <c r="D6" i="6" s="1"/>
  <c r="B6" i="5" a="1"/>
  <c r="B6" i="5" s="1"/>
  <c r="D6" i="5" a="1"/>
  <c r="D6" i="5" s="1"/>
  <c r="E6" i="2"/>
  <c r="E7" i="2"/>
  <c r="E17" i="2"/>
  <c r="E19" i="2"/>
  <c r="E32" i="2"/>
  <c r="E30" i="2"/>
  <c r="E5" i="2"/>
  <c r="E6" i="7" l="1" a="1"/>
  <c r="E6" i="7" s="1"/>
  <c r="E2" i="7" s="1"/>
  <c r="I2" i="7" s="1" a="1"/>
  <c r="I2" i="7" s="1"/>
  <c r="E6" i="6" a="1"/>
  <c r="E6" i="6" s="1"/>
  <c r="E2" i="6" s="1"/>
  <c r="I2" i="6" s="1" a="1"/>
  <c r="I2" i="6" s="1"/>
  <c r="F6" i="7" a="1"/>
  <c r="F6" i="7" s="1"/>
  <c r="F2" i="7" s="1"/>
  <c r="A16" i="7" a="1"/>
  <c r="A16" i="7" s="1"/>
  <c r="F6" i="6" a="1"/>
  <c r="F6" i="6" s="1"/>
  <c r="F2" i="6" s="1"/>
  <c r="A16" i="6" a="1"/>
  <c r="A16" i="6" s="1"/>
  <c r="E6" i="5" a="1"/>
  <c r="E6" i="5" s="1"/>
  <c r="E2" i="5" s="1"/>
  <c r="I2" i="5" s="1" a="1"/>
  <c r="I2" i="5" s="1"/>
  <c r="F6" i="5" a="1"/>
  <c r="F6" i="5" s="1"/>
  <c r="F2" i="5" s="1"/>
  <c r="A16" i="5" a="1"/>
  <c r="A16" i="5" s="1"/>
  <c r="D6" i="3" a="1"/>
  <c r="D6" i="3" s="1"/>
  <c r="G2" i="5" l="1"/>
  <c r="G2" i="6"/>
  <c r="G2" i="7"/>
  <c r="I6" i="6" a="1"/>
  <c r="I6" i="6" s="1"/>
  <c r="B16" i="6" a="1"/>
  <c r="B16" i="6" s="1"/>
  <c r="B16" i="7" a="1"/>
  <c r="B16" i="7" s="1"/>
  <c r="H6" i="6" a="1"/>
  <c r="H6" i="6" s="1"/>
  <c r="H2" i="6" s="1"/>
  <c r="I6" i="7" a="1"/>
  <c r="I6" i="7" s="1"/>
  <c r="H6" i="7" a="1"/>
  <c r="H6" i="7" s="1"/>
  <c r="H2" i="7" s="1"/>
  <c r="G6" i="7" a="1"/>
  <c r="G6" i="7" s="1"/>
  <c r="I6" i="5" a="1"/>
  <c r="I6" i="5" s="1"/>
  <c r="H6" i="5" a="1"/>
  <c r="H6" i="5" s="1"/>
  <c r="H2" i="5" s="1"/>
  <c r="G6" i="6" a="1"/>
  <c r="G6" i="6" s="1"/>
  <c r="B16" i="5" a="1"/>
  <c r="B16" i="5" s="1"/>
  <c r="G6" i="5" a="1"/>
  <c r="G6" i="5" s="1"/>
  <c r="B6" i="3" a="1"/>
  <c r="B6" i="3" s="1"/>
  <c r="A16" i="3" s="1" a="1"/>
  <c r="A16" i="3" s="1"/>
  <c r="F6" i="3" a="1"/>
  <c r="F6" i="3" s="1"/>
  <c r="F2" i="3" s="1"/>
  <c r="E6" i="3" l="1" a="1"/>
  <c r="E6" i="3" s="1"/>
  <c r="E2" i="3" s="1"/>
  <c r="I2" i="3" l="1" a="1"/>
  <c r="I2" i="3" s="1"/>
  <c r="G2" i="3"/>
  <c r="B16" i="3" a="1"/>
  <c r="B16" i="3" s="1"/>
  <c r="I6" i="3" a="1"/>
  <c r="I6" i="3" s="1"/>
  <c r="H6" i="3" a="1"/>
  <c r="H6" i="3" s="1"/>
  <c r="H2" i="3" s="1"/>
  <c r="G6" i="3" a="1"/>
  <c r="G6" i="3" s="1"/>
  <c r="A6" i="1" l="1" a="1"/>
  <c r="A6" i="1" s="1"/>
  <c r="B6" i="1" l="1" a="1"/>
  <c r="B6" i="1" s="1"/>
  <c r="C6" i="1" a="1"/>
  <c r="C6" i="1" s="1"/>
  <c r="D6" i="1" a="1"/>
  <c r="D6" i="1" s="1"/>
  <c r="E6" i="1" l="1" a="1"/>
  <c r="E6" i="1" s="1"/>
  <c r="E2" i="1" s="1"/>
  <c r="A16" i="1" a="1"/>
  <c r="A16" i="1" s="1"/>
  <c r="F6" i="1" a="1"/>
  <c r="F6" i="1" s="1"/>
  <c r="F2" i="1" s="1"/>
  <c r="G2" i="1" l="1"/>
  <c r="I2" i="1" a="1"/>
  <c r="I2" i="1" s="1"/>
  <c r="H6" i="1" a="1"/>
  <c r="H6" i="1" s="1"/>
  <c r="H2" i="1" s="1"/>
  <c r="I6" i="1" a="1"/>
  <c r="I6" i="1" s="1"/>
  <c r="B16" i="1" a="1"/>
  <c r="B16" i="1" s="1"/>
  <c r="G6" i="1" a="1"/>
  <c r="G6"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4"/>
        </ext>
      </extLst>
    </bk>
    <bk>
      <extLst>
        <ext uri="{3e2802c4-a4d2-4d8b-9148-e3be6c30e623}">
          <xlrd:rvb i="7"/>
        </ext>
      </extLst>
    </bk>
    <bk>
      <extLst>
        <ext uri="{3e2802c4-a4d2-4d8b-9148-e3be6c30e623}">
          <xlrd:rvb i="14"/>
        </ext>
      </extLst>
    </bk>
    <bk>
      <extLst>
        <ext uri="{3e2802c4-a4d2-4d8b-9148-e3be6c30e623}">
          <xlrd:rvb i="17"/>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<sst xmlns="http://schemas.openxmlformats.org/spreadsheetml/2006/main" count="418" uniqueCount="52">
  <si>
    <t>Overall Stock Portfolio Dashboard</t>
  </si>
  <si>
    <t>Current holdings</t>
  </si>
  <si>
    <t>Stock (exchange:ticker)</t>
  </si>
  <si>
    <t>Date</t>
  </si>
  <si>
    <t>Stock</t>
  </si>
  <si>
    <t>Units</t>
  </si>
  <si>
    <t>Price</t>
  </si>
  <si>
    <t>Transaction amount</t>
  </si>
  <si>
    <t>Account holder</t>
  </si>
  <si>
    <t>Currency</t>
  </si>
  <si>
    <t>Buy</t>
  </si>
  <si>
    <t>USD</t>
  </si>
  <si>
    <t>Industry</t>
  </si>
  <si>
    <t>Current price</t>
  </si>
  <si>
    <t>Market Value</t>
  </si>
  <si>
    <t>Transaction type</t>
  </si>
  <si>
    <t>Last 12 months</t>
  </si>
  <si>
    <t xml:space="preserve">Total Holdings Market Value </t>
  </si>
  <si>
    <t>Today's Change</t>
  </si>
  <si>
    <t>Unrealized Gain/(Loss)</t>
  </si>
  <si>
    <t>Total Unrealized Gain/(Loss)</t>
  </si>
  <si>
    <t>Current Holdings</t>
  </si>
  <si>
    <t>Portfolio by Industry</t>
  </si>
  <si>
    <t>Primary Ledger</t>
  </si>
  <si>
    <t>Sell</t>
  </si>
  <si>
    <t>Komal</t>
  </si>
  <si>
    <t>Note: Press Ctrl+Shift+J to update ledgers</t>
  </si>
  <si>
    <t>Jake</t>
  </si>
  <si>
    <t>Charles</t>
  </si>
  <si>
    <t>Rosa</t>
  </si>
  <si>
    <t>Terry</t>
  </si>
  <si>
    <t>Terry's Stock Portfolio Dashboard</t>
  </si>
  <si>
    <t>Rosa's Stock Portfolio Dashboard</t>
  </si>
  <si>
    <t>Charles's Stock Portfolio Dashboard</t>
  </si>
  <si>
    <t>Jake's Stock Portfolio Dashboard</t>
  </si>
  <si>
    <t>Portfolio Dashboard</t>
  </si>
  <si>
    <t>Why did I make this portfolio dashboard?</t>
  </si>
  <si>
    <t xml:space="preserve">In the midst of the pandemic in 2020, I became really interested in investing through the equities market. My family wanted to invest a little through me as well and I found it tedious and inefficient to keep track of multiple stock portfolios. </t>
  </si>
  <si>
    <t xml:space="preserve">This portfolio dashboard is designed to only require details to be filled in the first table of the ledger sheet. This includes the date, the stock purchased, the transaction type (buy/sell), the price, and the transaction amount. </t>
  </si>
  <si>
    <t xml:space="preserve">The number of shares purchased is automatically calculated based on the price and transaction amount inputed. Once this is done, the user may press ctrl+shift+j to run a macro that separates the data based on the account holder, and </t>
  </si>
  <si>
    <t xml:space="preserve">this subsequently updates the dashboards to the current number of shares held. Live data from the stock exchange is used to display the current profit/loss of the portfolios in real time. </t>
  </si>
  <si>
    <t>How can this dashboard be improved?</t>
  </si>
  <si>
    <t>How does this dashboard work?</t>
  </si>
  <si>
    <t>NOTE: None of the transactions or people in this portfolio are real. They are simply for illustration purposes.</t>
  </si>
  <si>
    <t>I'm trying to break into.</t>
  </si>
  <si>
    <t>More importantly, I wanted to have complete felxibility over what I can do with the data, such as measuring the portfolio's performance. I have an affinity for efficiency &amp; automation, hence I thoroughly enjoyed creating this</t>
  </si>
  <si>
    <t xml:space="preserve">1.    The first thing I'd like to add to this portfolio is a realized profits/loss column as this will provide a more complete picture of the portfolios performance. This would also allow for a quick calculation of profit sharing if needed. </t>
  </si>
  <si>
    <t xml:space="preserve">2.    A recording of the deposits &amp; withdrawals would also be a useful feature for the clients as they can quickly see how much they have deposited and withdrawn over time. </t>
  </si>
  <si>
    <t xml:space="preserve">        I have used this function to quickly measure my performance and to make comparisons against baselines. Unfortunately, I haven't created a dedicated sheet for this feature yet. </t>
  </si>
  <si>
    <t>3.    Lastly, a sheet dedicated to performance indicators would be great for calculating metrics such as annualized returns over staggered buy/sells of various stocks. Excel already has a great function for this exact purpose (XARR).</t>
  </si>
  <si>
    <t>So, I decided to make a portfolio dashboard that I can use to quickly glance at the overall holdings of my family as well as each individual portfolio. I knew that there were websites offering this service,but I thought it'd be a fun mini project.</t>
  </si>
  <si>
    <t xml:space="preserve">dashboard though I had limited excel experience. Here I am in June 2022 having decided in the last week that I want to learn data analysis, I realized that I had previously done something that is in fact relevant to the field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</si>
</sst>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RM-4409]* #,##0.00_-;\-[$RM-4409]* #,##0.00_-;_-[$RM-4409]* &quot;-&quot;??_-;_-@_-"/>
    <numFmt numFmtId="165" formatCode="[$$-409]#,##0.00_ ;[Red]\-[$$-409]#,##0.00\ "/>
  </numFmts>
  <fonts count="10" x14ac:knownFonts="1">
    <font>
      <sz val="11"/>
      <color theme="1"/>
      <name val="Calibri"/>
      <family val="2"/>
      <scheme val="minor"/>
    </font>
    <font>
      <sz val="8"/>
      <name val="Calibri"/>
      <family val="2"/>
      <scheme val="minor"/>
    </font>
    <font>
      <b/>
      <sz val="11"/>
      <color theme="4"/>
      <name val="Calibri"/>
      <family val="2"/>
      <scheme val="minor"/>
    </font>
    <font>
      <b/>
      <sz val="14"/>
      <name val="Calibri"/>
      <family val="2"/>
      <scheme val="minor"/>
    </font>
    <font>
      <b/>
      <sz val="22"/>
      <color theme="1"/>
      <name val="Calibri"/>
      <family val="2"/>
      <scheme val="minor"/>
    </font>
    <font>
      <b/>
      <sz val="12"/>
      <color theme="1"/>
      <name val="Calibri"/>
      <family val="2"/>
      <scheme val="minor"/>
    </font>
    <font>
      <b/>
      <sz val="11"/>
      <color theme="0"/>
      <name val="Calibri"/>
      <family val="2"/>
      <scheme val="minor"/>
    </font>
    <font>
      <sz val="11"/>
      <color theme="1"/>
      <name val="Calibri"/>
      <family val="2"/>
      <scheme val="minor"/>
    </font>
    <font>
      <sz val="20"/>
      <color theme="1"/>
      <name val="Calibri"/>
      <family val="2"/>
      <scheme val="minor"/>
    </font>
    <font>
      <u/>
      <sz val="11"/>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theme="4"/>
        <bgColor theme="4"/>
      </patternFill>
    </fill>
    <fill>
      <patternFill patternType="solid">
        <fgColor rgb="FFFFFF00"/>
        <bgColor indexed="64"/>
      </patternFill>
    </fill>
  </fills>
  <borders count="8">
    <border>
      <left/>
      <right/>
      <top/>
      <bottom/>
      <diagonal/>
    </border>
    <border>
      <left/>
      <right/>
      <top/>
      <bottom style="medium">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2">
    <xf numFmtId="0" fontId="0" fillId="0" borderId="0"/>
    <xf numFmtId="9" fontId="7" fillId="0" borderId="0" applyFont="0" applyFill="0" applyBorder="0" applyAlignment="0" applyProtection="0"/>
  </cellStyleXfs>
  <cellXfs count="42">
    <xf numFmtId="0" fontId="0" fillId="0" borderId="0" xfId="0"/>
    <xf numFmtId="14" fontId="0" fillId="0" borderId="0" xfId="0" applyNumberFormat="1"/>
    <xf numFmtId="165" fontId="0" fillId="0" borderId="0" xfId="0" applyNumberFormat="1"/>
    <xf numFmtId="10" fontId="0" fillId="0" borderId="0" xfId="0" applyNumberFormat="1"/>
    <xf numFmtId="0" fontId="0" fillId="0" borderId="0" xfId="0" applyProtection="1">
      <protection hidden="1"/>
    </xf>
    <xf numFmtId="0" fontId="0" fillId="2" borderId="0" xfId="0" applyFill="1"/>
    <xf numFmtId="165" fontId="0" fillId="2" borderId="0" xfId="0" applyNumberFormat="1" applyFill="1"/>
    <xf numFmtId="10" fontId="0" fillId="2" borderId="0" xfId="0" applyNumberFormat="1" applyFill="1"/>
    <xf numFmtId="164" fontId="0" fillId="2" borderId="0" xfId="0" applyNumberFormat="1" applyFill="1"/>
    <xf numFmtId="0" fontId="0" fillId="0" borderId="0" xfId="0" applyBorder="1"/>
    <xf numFmtId="165" fontId="0" fillId="0" borderId="0" xfId="0" applyNumberFormat="1" applyBorder="1"/>
    <xf numFmtId="10" fontId="0" fillId="0" borderId="0" xfId="0" applyNumberFormat="1" applyBorder="1"/>
    <xf numFmtId="0" fontId="2" fillId="2" borderId="0" xfId="0" applyFont="1" applyFill="1"/>
    <xf numFmtId="0" fontId="2" fillId="0" borderId="1" xfId="0" applyFont="1" applyBorder="1"/>
    <xf numFmtId="0" fontId="3" fillId="2" borderId="0" xfId="0" applyFont="1" applyFill="1"/>
    <xf numFmtId="0" fontId="5" fillId="2" borderId="0" xfId="0" applyFont="1" applyFill="1" applyAlignment="1">
      <alignment horizontal="left" wrapText="1"/>
    </xf>
    <xf numFmtId="0" fontId="5" fillId="2" borderId="0" xfId="0" applyFont="1" applyFill="1"/>
    <xf numFmtId="0" fontId="0" fillId="2" borderId="0" xfId="0" applyNumberFormat="1" applyFill="1"/>
    <xf numFmtId="0" fontId="6" fillId="3" borderId="5" xfId="0" applyFont="1" applyFill="1" applyBorder="1"/>
    <xf numFmtId="0" fontId="6" fillId="3" borderId="6" xfId="0" applyFont="1" applyFill="1" applyBorder="1"/>
    <xf numFmtId="0" fontId="6" fillId="3" borderId="7" xfId="0" applyFont="1" applyFill="1" applyBorder="1"/>
    <xf numFmtId="2" fontId="0" fillId="0" borderId="0" xfId="0" applyNumberFormat="1"/>
    <xf numFmtId="14" fontId="0" fillId="0" borderId="2" xfId="0" applyNumberFormat="1" applyBorder="1"/>
    <xf numFmtId="14" fontId="0" fillId="0" borderId="0" xfId="0" applyNumberFormat="1" applyFont="1" applyBorder="1"/>
    <xf numFmtId="0" fontId="0" fillId="0" borderId="3" xfId="0" applyBorder="1"/>
    <xf numFmtId="0" fontId="0" fillId="0" borderId="0" xfId="0" applyFont="1" applyBorder="1"/>
    <xf numFmtId="2" fontId="0" fillId="0" borderId="3" xfId="0" applyNumberFormat="1" applyBorder="1"/>
    <xf numFmtId="2" fontId="0" fillId="0" borderId="0" xfId="0" applyNumberFormat="1" applyFont="1" applyBorder="1"/>
    <xf numFmtId="0" fontId="0" fillId="0" borderId="4" xfId="0" applyBorder="1"/>
    <xf numFmtId="0" fontId="0" fillId="4" borderId="0" xfId="0" applyFill="1"/>
    <xf numFmtId="0" fontId="0" fillId="0" borderId="0" xfId="0" applyNumberFormat="1" applyBorder="1"/>
    <xf numFmtId="9" fontId="0" fillId="2" borderId="0" xfId="1" applyFont="1" applyFill="1"/>
    <xf numFmtId="14" fontId="0" fillId="0" borderId="0" xfId="0" applyNumberFormat="1" applyBorder="1"/>
    <xf numFmtId="14" fontId="0" fillId="0" borderId="3" xfId="0" applyNumberFormat="1" applyBorder="1"/>
    <xf numFmtId="2" fontId="0" fillId="0" borderId="0" xfId="0" applyNumberFormat="1" applyBorder="1"/>
    <xf numFmtId="0" fontId="8" fillId="0" borderId="0" xfId="0" applyFont="1"/>
    <xf numFmtId="0" fontId="9" fillId="0" borderId="0" xfId="0" applyFont="1"/>
    <xf numFmtId="0" fontId="2" fillId="0" borderId="1" xfId="0" applyFont="1" applyBorder="1" applyAlignment="1">
      <alignment horizontal="center"/>
    </xf>
    <xf numFmtId="0" fontId="5" fillId="2" borderId="0" xfId="0" applyFont="1" applyFill="1" applyAlignment="1">
      <alignment horizontal="center"/>
    </xf>
    <xf numFmtId="0" fontId="5" fillId="2" borderId="0" xfId="0" applyFont="1" applyFill="1" applyAlignment="1">
      <alignment horizontal="center" wrapText="1"/>
    </xf>
    <xf numFmtId="0" fontId="4" fillId="2" borderId="0" xfId="0" applyFont="1" applyFill="1" applyAlignment="1">
      <alignment horizontal="center"/>
    </xf>
    <xf numFmtId="0" fontId="0" fillId="0" borderId="0" xfId="0" applyAlignment="1">
      <alignment horizontal="center"/>
    </xf>
  </cellXfs>
  <cellStyles count="2">
    <cellStyle name="Normal" xfId="0" builtinId="0"/>
    <cellStyle name="Percent" xfId="1" builtinId="5"/>
  </cellStyles>
  <dxfs count="13">
    <dxf>
      <numFmt numFmtId="19" formatCode="d/m/yy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9" formatCode="d/m/yy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9" formatCode="d/m/yy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Holding Market Value by Industry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Overall!$B$15</c:f>
              <c:strCache>
                <c:ptCount val="1"/>
                <c:pt idx="0">
                  <c:v>Market Value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EF1-4D76-99FF-509970C4097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EF1-4D76-99FF-509970C4097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B10-4AC6-A79E-2EA498EBC85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Overall!$A$16:$A$18</c:f>
              <c:strCache>
                <c:ptCount val="3"/>
                <c:pt idx="0">
                  <c:v>Software &amp; IT Services</c:v>
                </c:pt>
                <c:pt idx="1">
                  <c:v>Diversified Retail</c:v>
                </c:pt>
                <c:pt idx="2">
                  <c:v>Automobiles &amp; Auto Parts</c:v>
                </c:pt>
              </c:strCache>
            </c:strRef>
          </c:cat>
          <c:val>
            <c:numRef>
              <c:f>Overall!$B$16:$B$18</c:f>
              <c:numCache>
                <c:formatCode>[$$-409]#,##0.00_ ;[Red]\-[$$-409]#,##0.00\ </c:formatCode>
                <c:ptCount val="3"/>
                <c:pt idx="0">
                  <c:v>9565.9851397185485</c:v>
                </c:pt>
                <c:pt idx="1">
                  <c:v>3611.0754252457418</c:v>
                </c:pt>
                <c:pt idx="2" formatCode="General">
                  <c:v>8843.7102429768311</c:v>
                </c:pt>
              </c:numCache>
            </c:numRef>
          </c:val>
          <c:extLst>
            <c:ext xmlns:c16="http://schemas.microsoft.com/office/drawing/2014/chart" uri="{C3380CC4-5D6E-409C-BE32-E72D297353CC}">
              <c16:uniqueId val="{00000000-CE39-485D-8ED4-95B23D75C7C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Overall!$E$5</c:f>
              <c:strCache>
                <c:ptCount val="1"/>
                <c:pt idx="0">
                  <c:v>Market Value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975-447E-8DB4-497C75957B6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3975-447E-8DB4-497C75957B6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3975-447E-8DB4-497C75957B6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A88-4245-B631-18866D318FF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A88-4245-B631-18866D318FFF}"/>
              </c:ext>
            </c:extLst>
          </c:dPt>
          <c:dLbls>
            <c:dLbl>
              <c:idx val="0"/>
              <c:layout>
                <c:manualLayout>
                  <c:x val="0.10175110658764247"/>
                  <c:y val="6.755545960604979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975-447E-8DB4-497C75957B6F}"/>
                </c:ext>
              </c:extLst>
            </c:dLbl>
            <c:dLbl>
              <c:idx val="1"/>
              <c:layout>
                <c:manualLayout>
                  <c:x val="7.6415785900938962E-2"/>
                  <c:y val="9.815371656603591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975-447E-8DB4-497C75957B6F}"/>
                </c:ext>
              </c:extLst>
            </c:dLbl>
            <c:dLbl>
              <c:idx val="2"/>
              <c:layout>
                <c:manualLayout>
                  <c:x val="8.6885727482511943E-2"/>
                  <c:y val="-0.2444479751706397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3975-447E-8DB4-497C75957B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Overall!$A$6:$A$10</c:f>
              <c:strCache>
                <c:ptCount val="4"/>
                <c:pt idx="0">
                  <c:v>ALPHABET INC. (XNAS:GOOG)</c:v>
                </c:pt>
                <c:pt idx="1">
                  <c:v>AMAZON.COM, INC. (XNAS:AMZN)</c:v>
                </c:pt>
                <c:pt idx="2">
                  <c:v>MICROSOFT CORPORATION (XNAS:MSFT)</c:v>
                </c:pt>
                <c:pt idx="3">
                  <c:v>TESLA, INC. (XNAS:TSLA)</c:v>
                </c:pt>
              </c:strCache>
            </c:strRef>
          </c:cat>
          <c:val>
            <c:numRef>
              <c:f>Overall!$E$6:$E$10</c:f>
              <c:numCache>
                <c:formatCode>[$$-409]#,##0.00_ ;[Red]\-[$$-409]#,##0.00\ </c:formatCode>
                <c:ptCount val="5"/>
                <c:pt idx="0">
                  <c:v>7383.9720023835453</c:v>
                </c:pt>
                <c:pt idx="1">
                  <c:v>3611.0754252457418</c:v>
                </c:pt>
                <c:pt idx="2">
                  <c:v>2182.0131373350027</c:v>
                </c:pt>
                <c:pt idx="3">
                  <c:v>8843.7102429768311</c:v>
                </c:pt>
              </c:numCache>
            </c:numRef>
          </c:val>
          <c:extLst>
            <c:ext xmlns:c16="http://schemas.microsoft.com/office/drawing/2014/chart" uri="{C3380CC4-5D6E-409C-BE32-E72D297353CC}">
              <c16:uniqueId val="{00000000-3975-447E-8DB4-497C75957B6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egendEntry>
        <c:idx val="4"/>
        <c:delete val="1"/>
      </c:legendEntry>
      <c:layout>
        <c:manualLayout>
          <c:xMode val="edge"/>
          <c:yMode val="edge"/>
          <c:x val="2.1619668884544783E-2"/>
          <c:y val="0.83008954251587808"/>
          <c:w val="0.50063508938028933"/>
          <c:h val="0.169910457484121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250030</xdr:colOff>
      <xdr:row>18</xdr:row>
      <xdr:rowOff>178593</xdr:rowOff>
    </xdr:from>
    <xdr:to>
      <xdr:col>3</xdr:col>
      <xdr:colOff>709612</xdr:colOff>
      <xdr:row>36</xdr:row>
      <xdr:rowOff>90487</xdr:rowOff>
    </xdr:to>
    <xdr:graphicFrame macro="">
      <xdr:nvGraphicFramePr>
        <xdr:cNvPr id="2" name="Chart 1">
          <a:extLst>
            <a:ext uri="{FF2B5EF4-FFF2-40B4-BE49-F238E27FC236}">
              <a16:creationId xmlns:a16="http://schemas.microsoft.com/office/drawing/2014/main" id="{25860B06-410D-4247-8466-E217286CBE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812004</xdr:colOff>
      <xdr:row>19</xdr:row>
      <xdr:rowOff>9525</xdr:rowOff>
    </xdr:from>
    <xdr:to>
      <xdr:col>11</xdr:col>
      <xdr:colOff>452437</xdr:colOff>
      <xdr:row>39</xdr:row>
      <xdr:rowOff>61912</xdr:rowOff>
    </xdr:to>
    <xdr:graphicFrame macro="">
      <xdr:nvGraphicFramePr>
        <xdr:cNvPr id="3" name="Chart 2">
          <a:extLst>
            <a:ext uri="{FF2B5EF4-FFF2-40B4-BE49-F238E27FC236}">
              <a16:creationId xmlns:a16="http://schemas.microsoft.com/office/drawing/2014/main" id="{51F7739B-A9C6-498C-AB21-CC788AEB11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8">
  <rv s="0">
    <v>en-GB</v>
    <v>avyq1h</v>
    <v>268435456</v>
    <v>1</v>
    <v>Powered by Refinitiv</v>
    <v>0</v>
    <v>USD/MYR</v>
    <v>2</v>
    <v>3</v>
    <v>Finance</v>
    <v>4</v>
    <v>4.4240000000000004</v>
    <v>4.109</v>
    <v>0</v>
    <v>0</v>
    <v>MYR</v>
    <v>USD</v>
    <v>4.4000000000000004</v>
    <v>Currency Pair</v>
    <v>44732.264733796299</v>
    <v>4.4029999999999996</v>
    <v>US Dollar/Malaysian Ringgit FX Spot Rate</v>
    <v>4.3949999999999996</v>
    <v>4.4000000000000004</v>
    <v>4.4000000000000004</v>
    <v>USDMYR</v>
    <v>USD/MYR</v>
  </rv>
  <rv s="1">
    <v>0</v>
  </rv>
  <rv s="2">
    <v>https://www.bing.com/financeapi/forcetrigger?t=a1u3p2&amp;q=XNAS%3aGOOG&amp;form=skydnc</v>
    <v>Learn more on Bing</v>
  </rv>
  <rv s="3">
    <v>en-MY</v>
    <v>a1u3p2</v>
    <v>268435456</v>
    <v>1</v>
    <v>Powered by Refinitiv</v>
    <v>5</v>
    <v>ALPHABET INC. (XNAS:GOOG)</v>
    <v>6</v>
    <v>7</v>
    <v>Finance</v>
    <v>8</v>
    <v>3042</v>
    <v>2044.16</v>
    <v>1.0807</v>
    <v>24.59</v>
    <v>-1.3440000000000001E-4</v>
    <v>1.153E-2</v>
    <v>-0.28999999999999998</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163906</v>
    <v>Nasdaq Stock Market</v>
    <v>XNAS</v>
    <v>XNAS</v>
    <v>1600 Amphitheatre Pkwy, MOUNTAIN VIEW, CA, 94043-1351 US</v>
    <v>2184.9899999999998</v>
    <v>Software &amp; IT Services</v>
    <v>Stock</v>
    <v>44729.999961875001</v>
    <v>2</v>
    <v>2112.5706</v>
    <v>1415605000000</v>
    <v>ALPHABET INC.</v>
    <v>ALPHABET INC.</v>
    <v>2130.6999999999998</v>
    <v>19.2865</v>
    <v>2132.7199999999998</v>
    <v>2157.31</v>
    <v>2157.02</v>
    <v>658499900</v>
    <v>GOOG</v>
    <v>ALPHABET INC. (XNAS:GOOG)</v>
    <v>2175833</v>
    <v>1582468</v>
    <v>2015</v>
  </rv>
  <rv s="1">
    <v>3</v>
  </rv>
  <rv s="2">
    <v>https://www.bing.com/financeapi/forcetrigger?t=a1nhlh&amp;q=XNAS%3aAMZN&amp;form=skydnc</v>
    <v>Learn more on Bing</v>
  </rv>
  <rv s="3">
    <v>en-GB</v>
    <v>a1nhlh</v>
    <v>268435456</v>
    <v>1</v>
    <v>Powered by Refinitiv</v>
    <v>5</v>
    <v>AMAZON.COM, INC. (XNAS:AMZN)</v>
    <v>6</v>
    <v>7</v>
    <v>Finance</v>
    <v>8</v>
    <v>188.65389999999999</v>
    <v>101.26</v>
    <v>1.2223999999999999</v>
    <v>2.56</v>
    <v>-3.483E-3</v>
    <v>2.4695999999999999E-2</v>
    <v>-0.37</v>
    <v>USD</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1608000</v>
    <v>Nasdaq Stock Market</v>
    <v>XNAS</v>
    <v>XNAS</v>
    <v>410 Terry Ave N, SEATTLE, WA, 98109 US</v>
    <v>106.98</v>
    <v>Diversified Retail</v>
    <v>Stock</v>
    <v>44729.999977580468</v>
    <v>5</v>
    <v>102.51</v>
    <v>1080726000000</v>
    <v>AMAZON.COM, INC.</v>
    <v>AMAZON.COM, INC.</v>
    <v>102.8</v>
    <v>50.127000000000002</v>
    <v>103.66</v>
    <v>106.22</v>
    <v>105.85</v>
    <v>10174410000</v>
    <v>AMZN</v>
    <v>AMAZON.COM, INC. (XNAS:AMZN)</v>
    <v>99772147</v>
    <v>96383434</v>
    <v>1996</v>
  </rv>
  <rv s="1">
    <v>6</v>
  </rv>
  <rv s="2">
    <v>http://en.wikipedia.org/wiki/Public_domain</v>
    <v>Public domain</v>
  </rv>
  <rv s="2">
    <v>https://en.wikipedia.org/wiki/Microsoft</v>
    <v>Wikipedia</v>
  </rv>
  <rv s="4">
    <v>8</v>
    <v>9</v>
  </rv>
  <rv s="5">
    <v>13</v>
    <v>https://www.bing.com/th?id=AMMS_e6e837c7bf3a77408619758b7447855a&amp;qlt=95</v>
    <v>10</v>
    <v>0</v>
    <v>https://www.bing.com/images/search?form=xlimg&amp;q=microsoft</v>
    <v>Image of MICROSOFT CORPORATION</v>
  </rv>
  <rv s="2">
    <v>https://www.bing.com/financeapi/forcetrigger?t=a1xzim&amp;q=XNAS%3aMSFT&amp;form=skydnc</v>
    <v>Learn more on Bing</v>
  </rv>
  <rv s="6">
    <v>en-MY</v>
    <v>a1xzim</v>
    <v>268435456</v>
    <v>1</v>
    <v>Powered by Refinitiv</v>
    <v>9</v>
    <v>MICROSOFT CORPORATION (XNAS:MSFT)</v>
    <v>11</v>
    <v>12</v>
    <v>Finance</v>
    <v>8</v>
    <v>349.67</v>
    <v>241.51</v>
    <v>0.93820000000000003</v>
    <v>2.68</v>
    <v>-1.0499999999999999E-3</v>
    <v>1.094E-2</v>
    <v>-0.26</v>
    <v>USD</v>
    <v>Microsoft Corporation is a technology company. The Company develops and supports a range of software products, services, devices, and solutions.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and video games. It also designs, manufactures, and sells devices, including personal computers (PCs), tablets, gaming and entertainment consoles, other intelligent devices, and related accessories. It offers an array of services, including cloud-based solutions that provide customers with software, services, platforms, and content, and it provides solution support and consulting services. It markets and distributes its products and services through original equipment manufacturers, direct, and distributors and resellers.</v>
    <v>181000</v>
    <v>Nasdaq Stock Market</v>
    <v>XNAS</v>
    <v>XNAS</v>
    <v>1 Microsoft Way, ONE MICROSOFT WAY, REDMOND, WA, 98052-6399 US</v>
    <v>250.5</v>
    <v>11</v>
    <v>Software &amp; IT Services</v>
    <v>Stock</v>
    <v>44729.999761307816</v>
    <v>12</v>
    <v>244.03</v>
    <v>1852183000000</v>
    <v>MICROSOFT CORPORATION</v>
    <v>MICROSOFT CORPORATION</v>
    <v>244.7</v>
    <v>25.558</v>
    <v>244.97</v>
    <v>247.65</v>
    <v>247.39</v>
    <v>7479033000</v>
    <v>MSFT</v>
    <v>MICROSOFT CORPORATION (XNAS:MSFT)</v>
    <v>43084780</v>
    <v>31601618</v>
    <v>1993</v>
  </rv>
  <rv s="1">
    <v>13</v>
  </rv>
  <rv s="2">
    <v>https://www.bing.com/financeapi/forcetrigger?t=a24kar&amp;q=XNAS%3aTSLA&amp;form=skydnc</v>
    <v>Learn more on Bing</v>
  </rv>
  <rv s="3">
    <v>en-GB</v>
    <v>a24kar</v>
    <v>268435456</v>
    <v>1</v>
    <v>Powered by Refinitiv</v>
    <v>5</v>
    <v>TESLA, INC. (XNAS:TSLA)</v>
    <v>6</v>
    <v>7</v>
    <v>Finance</v>
    <v>8</v>
    <v>1243.49</v>
    <v>601.34</v>
    <v>2.0855999999999999</v>
    <v>10.98</v>
    <v>-2.5369999999999998E-3</v>
    <v>1.7174999999999999E-2</v>
    <v>-1.65</v>
    <v>USD</v>
    <v>Tesla, Inc. designs, develops, manufactures, sells and leases fully electric vehicles and energy generation and storage systems, and offer services related to its products. The Company's automotive segment includes the design, development, manufacturing, sales, and leasing of electric vehicles as well as sales of automotive regulatory credits. Additionally, the automotive segment is also comprised of services and other, which includes non-warranty after-sales vehicle services, sales of used vehicles, retail merchandise, sales by its acquired subsidiaries to third party customers, and vehicle insurance. Its energy generation and storage segment includes the design, manufacture, installation, sales and leasing of solar energy generation and energy storage products and related services and sales of solar energy systems incentives. Its automotive products include Model 3, Model Y, Model S and Model X. Powerwall and Megapack are its lithium-ion battery energy storage products.</v>
    <v>99290</v>
    <v>Nasdaq Stock Market</v>
    <v>XNAS</v>
    <v>XNAS</v>
    <v>13101 Harold Green Road, AUSTIN, TX, 78725 US</v>
    <v>662.90819999999997</v>
    <v>Automobiles &amp; Auto Parts</v>
    <v>Stock</v>
    <v>44729.999958714841</v>
    <v>15</v>
    <v>639.59</v>
    <v>673696600000</v>
    <v>TESLA, INC.</v>
    <v>TESLA, INC.</v>
    <v>640.29999999999995</v>
    <v>86.409599999999998</v>
    <v>639.29999999999995</v>
    <v>650.28</v>
    <v>648.63</v>
    <v>1036010000</v>
    <v>TSLA</v>
    <v>TESLA, INC. (XNAS:TSLA)</v>
    <v>30880590</v>
    <v>32365702</v>
    <v>2003</v>
  </rv>
  <rv s="1">
    <v>16</v>
  </rv>
</rvData>
</file>

<file path=xl/richData/rdrichvaluestructure.xml><?xml version="1.0" encoding="utf-8"?>
<rvStructures xmlns="http://schemas.microsoft.com/office/spreadsheetml/2017/richdata" count="7">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4">
    <spb s="0">
      <v>0</v>
      <v>Name</v>
    </spb>
    <spb s="1">
      <v>0</v>
      <v>0</v>
      <v>0</v>
    </spb>
    <spb s="2">
      <v>1</v>
      <v>1</v>
    </spb>
    <spb s="3">
      <v>1</v>
      <v>1</v>
      <v>2</v>
      <v>1</v>
      <v>1</v>
      <v>1</v>
      <v>3</v>
      <v>1</v>
      <v>1</v>
      <v>1</v>
      <v>4</v>
      <v>5</v>
    </spb>
    <spb s="4">
      <v>GMT</v>
    </spb>
    <spb s="5">
      <v>1</v>
      <v>Name</v>
      <v>LearnMoreOnLink</v>
    </spb>
    <spb s="6">
      <v>1</v>
      <v>1</v>
      <v>1</v>
      <v>1</v>
    </spb>
    <spb s="7">
      <v>6</v>
      <v>7</v>
      <v>7</v>
      <v>6</v>
      <v>2</v>
      <v>6</v>
      <v>6</v>
      <v>6</v>
      <v>8</v>
      <v>8</v>
      <v>3</v>
      <v>9</v>
      <v>6</v>
      <v>6</v>
      <v>6</v>
      <v>8</v>
      <v>4</v>
      <v>10</v>
      <v>5</v>
      <v>8</v>
      <v>6</v>
      <v>6</v>
      <v>3</v>
    </spb>
    <spb s="8">
      <v>at close</v>
      <v>from previous close</v>
      <v>from previous close</v>
      <v>Source: Nasdaq</v>
      <v>GMT</v>
      <v>Delayed 15 minutes</v>
      <v>from close</v>
      <v>from close</v>
    </spb>
    <spb s="5">
      <v>2</v>
      <v>Name</v>
      <v>LearnMoreOnLink</v>
    </spb>
    <spb s="9">
      <v>0</v>
      <v>0</v>
    </spb>
    <spb s="10">
      <v>10</v>
      <v>1</v>
      <v>1</v>
      <v>1</v>
      <v>1</v>
    </spb>
    <spb s="11">
      <v>6</v>
      <v>7</v>
      <v>7</v>
      <v>6</v>
      <v>2</v>
      <v>6</v>
      <v>11</v>
      <v>6</v>
      <v>6</v>
      <v>8</v>
      <v>8</v>
      <v>3</v>
      <v>9</v>
      <v>6</v>
      <v>6</v>
      <v>6</v>
      <v>8</v>
      <v>4</v>
      <v>10</v>
      <v>5</v>
      <v>8</v>
      <v>6</v>
      <v>6</v>
      <v>3</v>
    </spb>
    <spb s="12">
      <v>Powered by Refinitiv</v>
    </spb>
  </spbData>
</supportingPropertyBags>
</file>

<file path=xl/richData/rdsupportingpropertybagstructure.xml><?xml version="1.0" encoding="utf-8"?>
<spbStructures xmlns="http://schemas.microsoft.com/office/spreadsheetml/2017/richdata2" count="13">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
    <k n="^Order" t="spba"/>
    <k n="TitleProperty" t="s"/>
    <k n="SubTitleProperty"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14" formatCode="0.00%"/>
    </x:dxf>
    <x:dxf>
      <x:numFmt numFmtId="27" formatCode="d/m/yyyy\ h:mm"/>
    </x:dxf>
    <x:dxf>
      <x:numFmt numFmtId="2" formatCode="0.00"/>
    </x:dxf>
    <x:dxf>
      <x:numFmt numFmtId="4" formatCode="#,##0.00"/>
    </x:dxf>
    <x:dxf>
      <x:numFmt numFmtId="3" formatCode="#,##0"/>
    </x:dxf>
    <x:dxf>
      <x:numFmt numFmtId="1" formatCode="0"/>
    </x:dxf>
    <x:dxf>
      <x:numFmt numFmtId="0" formatCode="General"/>
    </x:dxf>
  </dxfs>
  <richProperties>
    <rPr n="NumberFormat" t="s"/>
    <rPr n="IsTitleField" t="b"/>
    <rPr n="IsHeroField" t="b"/>
  </richProperties>
  <richStyles>
    <rSty dxfid="6">
      <rpv i="0">_-[$RM-en-MY]* #,##0.00_-;-[$RM-en-MY]* #,##0.00_-;_-[$RM-en-MY]* "-"??_-;_-@_-</rpv>
    </rSty>
    <rSty>
      <rpv i="1">1</rpv>
    </rSty>
    <rSty dxfid="0"/>
    <rSty dxfid="1"/>
    <rSty dxfid="2">
      <rpv i="0">0.00</rpv>
    </rSty>
    <rSty dxfid="6">
      <rpv i="0">_([$$-en-US]* #,##0.00_);_([$$-en-US]* (#,##0.00);_([$$-en-US]* "-"??_);_(@_)</rpv>
    </rSty>
    <rSty dxfid="3">
      <rpv i="0">#,##0.00</rpv>
    </rSty>
    <rSty dxfid="4">
      <rpv i="0">#,##0</rpv>
    </rSty>
    <rSty dxfid="6">
      <rpv i="0">_([$$-en-US]* #,##0_);_([$$-en-US]* (#,##0);_([$$-en-US]* "-"_);_(@_)</rpv>
    </rSty>
    <rSty dxfid="5">
      <rpv i="0">0</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751612-3C09-43C5-AB92-0F3084E6B143}" name="Ledger" displayName="Ledger" ref="A4:H500" totalsRowShown="0">
  <sortState xmlns:xlrd2="http://schemas.microsoft.com/office/spreadsheetml/2017/richdata2" ref="A5:H500">
    <sortCondition ref="A6:A500"/>
  </sortState>
  <tableColumns count="8">
    <tableColumn id="1" xr3:uid="{A71BE7B7-60D5-4C6E-B157-369FC00AEF05}" name="Date"/>
    <tableColumn id="2" xr3:uid="{06859342-018C-4E89-837D-8D143F6B50F3}" name="Stock"/>
    <tableColumn id="3" xr3:uid="{363887F9-F0AD-44EE-8CBD-0002F0DE7D9F}" name="Transaction type"/>
    <tableColumn id="4" xr3:uid="{A5CEF24C-759D-4670-8F6C-C99152E320A0}" name="Account holder"/>
    <tableColumn id="5" xr3:uid="{F2689275-5124-4B64-92E9-4BB5D0037BE5}" name="Units">
      <calculatedColumnFormula>Ledger[[#This Row],[Transaction amount]]/Ledger[[#This Row],[Price]]</calculatedColumnFormula>
    </tableColumn>
    <tableColumn id="6" xr3:uid="{4BAFF4FE-762F-4139-9048-23AA21B3FF8D}" name="Price" dataDxfId="12"/>
    <tableColumn id="7" xr3:uid="{A5999B15-8AD4-4574-982B-F28F24D7F336}" name="Transaction amount"/>
    <tableColumn id="8" xr3:uid="{32209244-6B69-4ACB-AEC7-EBCD21A3268E}" name="Currenc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3A187CE-767E-4FD1-9A15-479D295817F7}" name="LedRan" displayName="LedRan" ref="K4:R150" totalsRowShown="0">
  <autoFilter ref="K4:R150" xr:uid="{B3A187CE-767E-4FD1-9A15-479D295817F7}"/>
  <tableColumns count="8">
    <tableColumn id="1" xr3:uid="{0434F26E-65B8-4BF9-BCE2-C9C05B5F1F1A}" name="Date"/>
    <tableColumn id="2" xr3:uid="{6D82D8E6-E088-475A-83EE-30C806F99551}" name="Stock"/>
    <tableColumn id="3" xr3:uid="{83EC3184-7A85-4F8B-A5E2-EEE07F93E4C3}" name="Transaction type"/>
    <tableColumn id="4" xr3:uid="{16E9DC9F-B691-496F-9C4E-16A596625A67}" name="Account holder"/>
    <tableColumn id="5" xr3:uid="{2FFD4C88-0B6D-493E-BA47-8DADC3EC7009}" name="Units"/>
    <tableColumn id="6" xr3:uid="{7FFE5311-F1D5-417D-96D9-CA099B24A020}" name="Price"/>
    <tableColumn id="7" xr3:uid="{8B333C73-7D26-432B-9261-55FF167BBB27}" name="Transaction amount"/>
    <tableColumn id="8" xr3:uid="{B12B4114-881F-4D23-9408-8FAE9AFB03E5}"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FB44D3-AC21-4063-B9C5-061D556C2275}" name="LedSun" displayName="LedSun" ref="U4:AB150" totalsRowShown="0" headerRowDxfId="11" headerRowBorderDxfId="10" tableBorderDxfId="9">
  <autoFilter ref="U4:AB150" xr:uid="{83FB44D3-AC21-4063-B9C5-061D556C2275}"/>
  <tableColumns count="8">
    <tableColumn id="1" xr3:uid="{2D32117D-4099-4FD8-AFA0-1B665CDFC2BC}" name="Date" dataDxfId="8"/>
    <tableColumn id="2" xr3:uid="{6C1E8F03-E8DF-4E4B-A6B0-010B62044B73}" name="Stock"/>
    <tableColumn id="3" xr3:uid="{95225527-D94C-4B04-A66B-A8B5E79EF8CE}" name="Transaction type"/>
    <tableColumn id="4" xr3:uid="{A4CED497-00CF-4155-8693-99B2074A60F7}" name="Account holder"/>
    <tableColumn id="5" xr3:uid="{4DE0BB3E-6740-48EF-AEB7-E21A92C7B566}" name="Units"/>
    <tableColumn id="6" xr3:uid="{28F9B6FF-338A-48F7-AA11-6A99E2861D0B}" name="Price"/>
    <tableColumn id="7" xr3:uid="{5835C6D7-EAC6-419F-BDBE-E192D1DB2507}" name="Transaction amount"/>
    <tableColumn id="8" xr3:uid="{967298D6-9DEF-40A1-9D97-5FC64D492FCB}" name="Currenc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DE2155-11D8-4660-96CC-5E1E75717AD5}" name="LedMum" displayName="LedMum" ref="AE4:AL150" totalsRowShown="0" headerRowDxfId="7" headerRowBorderDxfId="6" tableBorderDxfId="5">
  <autoFilter ref="AE4:AL150" xr:uid="{C4DE2155-11D8-4660-96CC-5E1E75717AD5}"/>
  <tableColumns count="8">
    <tableColumn id="1" xr3:uid="{92E7A04B-A1A9-4981-8E3F-CFD7FD281D1C}" name="Date" dataDxfId="4"/>
    <tableColumn id="2" xr3:uid="{04719094-99FB-4E14-B85C-2141A0C9BFE2}" name="Stock"/>
    <tableColumn id="3" xr3:uid="{F603A915-9932-49BF-8BD9-AB76066CA2C9}" name="Transaction type"/>
    <tableColumn id="4" xr3:uid="{20F988A6-2569-4618-9BAF-884C871916B6}" name="Account holder"/>
    <tableColumn id="5" xr3:uid="{A2BC3D2F-797E-411E-B850-6967F69D026B}" name="Units"/>
    <tableColumn id="6" xr3:uid="{B7931CF8-0856-4197-AD40-8CB4FC9F82A5}" name="Price"/>
    <tableColumn id="7" xr3:uid="{F75F84D7-952C-4C7C-AACD-4AA4ED82FA59}" name="Transaction amount"/>
    <tableColumn id="8" xr3:uid="{F6A54C83-4432-4DDE-89AA-4F38BADC38EE}" name="Currenc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E6372AA-2CEA-43DE-92CD-4BCFD27B1A69}" name="LedDad" displayName="LedDad" ref="AO4:AV150" totalsRowShown="0" headerRowDxfId="3" headerRowBorderDxfId="2" tableBorderDxfId="1">
  <autoFilter ref="AO4:AV150" xr:uid="{6E6372AA-2CEA-43DE-92CD-4BCFD27B1A69}"/>
  <tableColumns count="8">
    <tableColumn id="1" xr3:uid="{7BA79CB0-3AD2-482F-9AF0-8DFB1F21FFA8}" name="Date" dataDxfId="0"/>
    <tableColumn id="2" xr3:uid="{DACE1560-CE09-45F4-AC78-92B1959CA5AB}" name="Stock"/>
    <tableColumn id="3" xr3:uid="{D6BBBA61-196C-419D-93B8-9057CBE569DA}" name="Transaction type"/>
    <tableColumn id="4" xr3:uid="{60C97323-1B6A-4407-B041-C7E7C3A64679}" name="Account holder"/>
    <tableColumn id="5" xr3:uid="{E8255306-D59F-45F0-ADC3-C3C9B10EF2DC}" name="Units"/>
    <tableColumn id="6" xr3:uid="{536C9A4D-7943-4AF8-B5F4-BE6578B20A92}" name="Price"/>
    <tableColumn id="7" xr3:uid="{23B38D01-BF9E-4243-B0FD-C0E12407C735}" name="Transaction amount"/>
    <tableColumn id="8" xr3:uid="{4655A9E7-B954-48CD-AA75-D6A9C6A35A6E}" nam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34EE-0474-4EB1-93FE-3C17EBE61769}">
  <dimension ref="A1:A24"/>
  <sheetViews>
    <sheetView showGridLines="0" workbookViewId="0">
      <selection activeCell="D27" sqref="D27"/>
    </sheetView>
  </sheetViews>
  <sheetFormatPr defaultRowHeight="14.25" x14ac:dyDescent="0.45"/>
  <sheetData>
    <row r="1" spans="1:1" ht="25.5" x14ac:dyDescent="0.75">
      <c r="A1" s="35" t="s">
        <v>35</v>
      </c>
    </row>
    <row r="3" spans="1:1" x14ac:dyDescent="0.45">
      <c r="A3" t="s">
        <v>43</v>
      </c>
    </row>
    <row r="6" spans="1:1" x14ac:dyDescent="0.45">
      <c r="A6" s="36" t="s">
        <v>36</v>
      </c>
    </row>
    <row r="7" spans="1:1" x14ac:dyDescent="0.45">
      <c r="A7" t="s">
        <v>37</v>
      </c>
    </row>
    <row r="8" spans="1:1" x14ac:dyDescent="0.45">
      <c r="A8" t="s">
        <v>50</v>
      </c>
    </row>
    <row r="9" spans="1:1" x14ac:dyDescent="0.45">
      <c r="A9" t="s">
        <v>45</v>
      </c>
    </row>
    <row r="10" spans="1:1" x14ac:dyDescent="0.45">
      <c r="A10" t="s">
        <v>51</v>
      </c>
    </row>
    <row r="11" spans="1:1" x14ac:dyDescent="0.45">
      <c r="A11" t="s">
        <v>44</v>
      </c>
    </row>
    <row r="14" spans="1:1" x14ac:dyDescent="0.45">
      <c r="A14" s="36" t="s">
        <v>42</v>
      </c>
    </row>
    <row r="15" spans="1:1" x14ac:dyDescent="0.45">
      <c r="A15" t="s">
        <v>38</v>
      </c>
    </row>
    <row r="16" spans="1:1" x14ac:dyDescent="0.45">
      <c r="A16" t="s">
        <v>39</v>
      </c>
    </row>
    <row r="17" spans="1:1" x14ac:dyDescent="0.45">
      <c r="A17" t="s">
        <v>40</v>
      </c>
    </row>
    <row r="20" spans="1:1" x14ac:dyDescent="0.45">
      <c r="A20" s="36" t="s">
        <v>41</v>
      </c>
    </row>
    <row r="21" spans="1:1" x14ac:dyDescent="0.45">
      <c r="A21" t="s">
        <v>46</v>
      </c>
    </row>
    <row r="22" spans="1:1" x14ac:dyDescent="0.45">
      <c r="A22" t="s">
        <v>47</v>
      </c>
    </row>
    <row r="23" spans="1:1" x14ac:dyDescent="0.45">
      <c r="A23" t="s">
        <v>49</v>
      </c>
    </row>
    <row r="24" spans="1:1" x14ac:dyDescent="0.45">
      <c r="A24" t="s">
        <v>48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29AA-23C4-44CD-BE3B-D52F4049658D}">
  <sheetPr codeName="Sheet1"/>
  <dimension ref="A1:JC18"/>
  <sheetViews>
    <sheetView tabSelected="1" workbookViewId="0">
      <selection activeCell="L12" sqref="L12"/>
    </sheetView>
  </sheetViews>
  <sheetFormatPr defaultRowHeight="14.25" x14ac:dyDescent="0.45"/>
  <cols>
    <col min="1" max="1" width="30.3984375" customWidth="1"/>
    <col min="2" max="2" width="24.59765625" customWidth="1"/>
    <col min="3" max="3" width="9" customWidth="1"/>
    <col min="4" max="4" width="11.3984375" customWidth="1"/>
    <col min="5" max="5" width="14.86328125" customWidth="1"/>
    <col min="6" max="6" width="11.6640625" customWidth="1"/>
    <col min="7" max="7" width="9.06640625" customWidth="1"/>
    <col min="8" max="8" width="10.1328125" customWidth="1"/>
    <col min="9" max="9" width="11.53125" customWidth="1"/>
    <col min="10" max="10" width="21.265625" customWidth="1"/>
    <col min="12" max="12" width="10.86328125" customWidth="1"/>
  </cols>
  <sheetData>
    <row r="1" spans="1:263" ht="43.9" customHeight="1" x14ac:dyDescent="0.85">
      <c r="A1" s="40" t="s">
        <v>0</v>
      </c>
      <c r="B1" s="40"/>
      <c r="C1" s="5"/>
      <c r="D1" s="5"/>
      <c r="E1" s="15" t="s">
        <v>17</v>
      </c>
      <c r="F1" s="38" t="s">
        <v>18</v>
      </c>
      <c r="G1" s="38"/>
      <c r="H1" s="39" t="s">
        <v>20</v>
      </c>
      <c r="I1" s="39"/>
      <c r="J1" s="16" t="e" vm="1">
        <v>#VALUE!</v>
      </c>
    </row>
    <row r="2" spans="1:263" x14ac:dyDescent="0.45">
      <c r="A2" s="5"/>
      <c r="B2" s="5"/>
      <c r="C2" s="5"/>
      <c r="D2" s="5"/>
      <c r="E2" s="6">
        <f>SUM(_xlfn.ANCHORARRAY(E6))</f>
        <v>22020.770807941124</v>
      </c>
      <c r="F2" s="6">
        <f>SUM(_xlfn.ANCHORARRAY(F6))</f>
        <v>344.13561245206733</v>
      </c>
      <c r="G2" s="7">
        <f>F2/(E2-F2)</f>
        <v>1.5875877844901062E-2</v>
      </c>
      <c r="H2" s="6">
        <f>SUM(_xlfn.ANCHORARRAY(H6))</f>
        <v>10931.129968570984</v>
      </c>
      <c r="I2" s="31" cm="1">
        <f t="array" ref="I2">(E2/SUM(SUMIF(Ledger[Stock],_xlfn.ANCHORARRAY(A6),Ledger[Transaction amount])))-1</f>
        <v>0.98570640175862057</v>
      </c>
      <c r="J2" s="8" cm="1">
        <f t="array" ref="J2">_FV(J1,"Price")</f>
        <v>4.4000000000000004</v>
      </c>
      <c r="BK2" t="s">
        <v>25</v>
      </c>
    </row>
    <row r="4" spans="1:263" ht="18" x14ac:dyDescent="0.55000000000000004">
      <c r="A4" s="14" t="s">
        <v>21</v>
      </c>
      <c r="B4" s="12"/>
      <c r="C4" s="12"/>
      <c r="D4" s="12"/>
      <c r="E4" s="12"/>
      <c r="F4" s="12"/>
      <c r="G4" s="12"/>
      <c r="H4" s="12"/>
      <c r="I4" s="12"/>
      <c r="J4" s="12"/>
    </row>
    <row r="5" spans="1:263" ht="14.65" thickBot="1" x14ac:dyDescent="0.5">
      <c r="A5" s="13" t="s">
        <v>2</v>
      </c>
      <c r="B5" s="13" t="s">
        <v>12</v>
      </c>
      <c r="C5" s="13" t="s">
        <v>5</v>
      </c>
      <c r="D5" s="13" t="s">
        <v>13</v>
      </c>
      <c r="E5" s="13" t="s">
        <v>14</v>
      </c>
      <c r="F5" s="37" t="s">
        <v>18</v>
      </c>
      <c r="G5" s="37"/>
      <c r="H5" s="37" t="s">
        <v>19</v>
      </c>
      <c r="I5" s="37"/>
      <c r="J5" s="13" t="s">
        <v>16</v>
      </c>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row>
    <row r="6" spans="1:263" ht="27.4" customHeight="1" x14ac:dyDescent="0.45">
      <c r="A6" s="9" t="e" cm="1" vm="2">
        <f t="array" ref="A6:A9">_xlfn._xlws.SORT(_xlfn.UNIQUE(_xlfn._xlws.FILTER(Ledger[Stock],SUMIF(Ledger[Stock],Ledger[Stock],Ledger[Units])&lt;&gt;0)))</f>
        <v>#VALUE!</v>
      </c>
      <c r="B6" s="9" t="str" cm="1">
        <f t="array" ref="B6:B9">_FV(_xlfn.ANCHORARRAY(A6),"Industry")</f>
        <v>Software &amp; IT Services</v>
      </c>
      <c r="C6" s="9" cm="1">
        <f t="array" ref="C6:C9">SUMIF(Ledger[Stock],_xlfn.ANCHORARRAY(A6),Ledger[Units])</f>
        <v>3.4227681707235145</v>
      </c>
      <c r="D6" s="10" cm="1">
        <f t="array" ref="D6:D9">_FV(_xlfn.ANCHORARRAY(A6),"Price")</f>
        <v>2157.31</v>
      </c>
      <c r="E6" s="2" cm="1">
        <f t="array" ref="E6:E9">_xlfn.ANCHORARRAY(C6)*_xlfn.ANCHORARRAY(D6)</f>
        <v>7383.9720023835453</v>
      </c>
      <c r="F6" s="2" cm="1">
        <f t="array" ref="F6:F9">(_xlfn.ANCHORARRAY(D6)-_FV(_xlfn.ANCHORARRAY(A6),"Previous close",TRUE))*_xlfn.ANCHORARRAY(C6)</f>
        <v>84.165869318091723</v>
      </c>
      <c r="G6" s="3" cm="1">
        <f t="array" ref="G6:G9">_xlfn.ANCHORARRAY(F6)/(_xlfn.ANCHORARRAY(E6)-_xlfn.ANCHORARRAY(F6))</f>
        <v>1.1529877339735243E-2</v>
      </c>
      <c r="H6" s="10" cm="1">
        <f t="array" ref="H6:H9">-SUMIF(Ledger[Stock],_xlfn.ANCHORARRAY(A6),Ledger[Transaction amount])+_xlfn.ANCHORARRAY(E6)</f>
        <v>5723.9720023835453</v>
      </c>
      <c r="I6" s="11" cm="1">
        <f t="array" ref="I6:I9">(_xlfn.ANCHORARRAY(E6)/SUMIF(Ledger[Stock],_xlfn.ANCHORARRAY(A6),Ledger[Transaction amount]))-1</f>
        <v>3.4481759050503289</v>
      </c>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row>
    <row r="7" spans="1:263" ht="27.4" customHeight="1" x14ac:dyDescent="0.45">
      <c r="A7" t="e" vm="3">
        <v>#VALUE!</v>
      </c>
      <c r="B7" t="str">
        <v>Diversified Retail</v>
      </c>
      <c r="C7">
        <v>33.996191162170419</v>
      </c>
      <c r="D7" s="2">
        <v>106.22</v>
      </c>
      <c r="E7" s="2">
        <v>3611.0754252457418</v>
      </c>
      <c r="F7" s="2">
        <v>87.030249375156345</v>
      </c>
      <c r="G7" s="3">
        <v>2.4696121937102088E-2</v>
      </c>
      <c r="H7" s="2">
        <v>1475.9967946619113</v>
      </c>
      <c r="I7" s="3">
        <v>0.69130793288784154</v>
      </c>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row>
    <row r="8" spans="1:263" x14ac:dyDescent="0.45">
      <c r="A8" t="e" vm="4">
        <v>#VALUE!</v>
      </c>
      <c r="B8" t="str">
        <v>Software &amp; IT Services</v>
      </c>
      <c r="C8">
        <v>8.8108747721986784</v>
      </c>
      <c r="D8" s="2">
        <v>247.65</v>
      </c>
      <c r="E8" s="2">
        <v>2182.0131373350027</v>
      </c>
      <c r="F8" s="2">
        <v>23.613144389492518</v>
      </c>
      <c r="G8" s="3">
        <v>1.0940115116136698E-2</v>
      </c>
      <c r="H8" s="2">
        <v>332.01313733500274</v>
      </c>
      <c r="I8" s="3">
        <v>0.17946656072162304</v>
      </c>
    </row>
    <row r="9" spans="1:263" x14ac:dyDescent="0.45">
      <c r="A9" t="e" vm="5">
        <v>#VALUE!</v>
      </c>
      <c r="B9" t="str">
        <v>Automobiles &amp; Auto Parts</v>
      </c>
      <c r="C9">
        <v>13.599849669337566</v>
      </c>
      <c r="D9" s="2">
        <v>650.28</v>
      </c>
      <c r="E9" s="2">
        <v>8843.7102429768311</v>
      </c>
      <c r="F9" s="2">
        <v>149.32634936932672</v>
      </c>
      <c r="G9" s="3">
        <v>1.7175035194744281E-2</v>
      </c>
      <c r="H9" s="2">
        <v>3399.1480341905244</v>
      </c>
      <c r="I9" s="3">
        <v>0.62431980824923983</v>
      </c>
    </row>
    <row r="10" spans="1:263" x14ac:dyDescent="0.45">
      <c r="D10" s="2"/>
      <c r="E10" s="2"/>
      <c r="F10" s="2"/>
      <c r="G10" s="3"/>
      <c r="H10" s="2"/>
      <c r="I10" s="3"/>
    </row>
    <row r="11" spans="1:263" x14ac:dyDescent="0.45">
      <c r="D11" s="2"/>
      <c r="E11" s="2"/>
      <c r="F11" s="2"/>
      <c r="G11" s="3"/>
      <c r="H11" s="2"/>
      <c r="I11" s="3"/>
    </row>
    <row r="12" spans="1:263" x14ac:dyDescent="0.45">
      <c r="D12" s="2"/>
      <c r="E12" s="2"/>
      <c r="F12" s="2"/>
      <c r="G12" s="3"/>
      <c r="H12" s="2"/>
      <c r="I12" s="3"/>
    </row>
    <row r="14" spans="1:263" ht="18" x14ac:dyDescent="0.55000000000000004">
      <c r="A14" s="14" t="s">
        <v>22</v>
      </c>
    </row>
    <row r="15" spans="1:263" ht="14.65" thickBot="1" x14ac:dyDescent="0.5">
      <c r="A15" s="13" t="s">
        <v>12</v>
      </c>
      <c r="B15" s="13" t="s">
        <v>14</v>
      </c>
    </row>
    <row r="16" spans="1:263" x14ac:dyDescent="0.45">
      <c r="A16" t="str" cm="1">
        <f t="array" ref="A16:A18">_xlfn.UNIQUE(_xlfn.ANCHORARRAY(B6))</f>
        <v>Software &amp; IT Services</v>
      </c>
      <c r="B16" s="2" cm="1">
        <f t="array" ref="B16:B18">SUMIF(_xlfn.ANCHORARRAY(B6),_xlfn.ANCHORARRAY(A16),_xlfn.ANCHORARRAY(E6))</f>
        <v>9565.9851397185485</v>
      </c>
    </row>
    <row r="17" spans="1:2" x14ac:dyDescent="0.45">
      <c r="A17" t="str">
        <v>Diversified Retail</v>
      </c>
      <c r="B17" s="2">
        <v>3611.0754252457418</v>
      </c>
    </row>
    <row r="18" spans="1:2" x14ac:dyDescent="0.45">
      <c r="A18" t="str">
        <v>Automobiles &amp; Auto Parts</v>
      </c>
      <c r="B18">
        <v>8843.7102429768311</v>
      </c>
    </row>
  </sheetData>
  <mergeCells count="5">
    <mergeCell ref="F5:G5"/>
    <mergeCell ref="H5:I5"/>
    <mergeCell ref="F1:G1"/>
    <mergeCell ref="H1:I1"/>
    <mergeCell ref="A1:B1"/>
  </mergeCells>
  <conditionalFormatting sqref="E6:E12">
    <cfRule type="dataBar" priority="6">
      <dataBar>
        <cfvo type="min"/>
        <cfvo type="max"/>
        <color rgb="FF638EC6"/>
      </dataBar>
      <extLst>
        <ext xmlns:x14="http://schemas.microsoft.com/office/spreadsheetml/2009/9/main" uri="{B025F937-C7B1-47D3-B67F-A62EFF666E3E}">
          <x14:id>{4546CD22-B53D-4B33-B8CD-9C2715F9C180}</x14:id>
        </ext>
      </extLst>
    </cfRule>
  </conditionalFormatting>
  <conditionalFormatting sqref="B16:B17">
    <cfRule type="dataBar" priority="1">
      <dataBar>
        <cfvo type="min"/>
        <cfvo type="max"/>
        <color rgb="FF638EC6"/>
      </dataBar>
      <extLst>
        <ext xmlns:x14="http://schemas.microsoft.com/office/spreadsheetml/2009/9/main" uri="{B025F937-C7B1-47D3-B67F-A62EFF666E3E}">
          <x14:id>{81250DD5-0D7B-46CF-841B-4293AC3FD00C}</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4546CD22-B53D-4B33-B8CD-9C2715F9C180}">
            <x14:dataBar minLength="0" maxLength="100" border="1" negativeBarBorderColorSameAsPositive="0">
              <x14:cfvo type="autoMin"/>
              <x14:cfvo type="autoMax"/>
              <x14:borderColor rgb="FF638EC6"/>
              <x14:negativeFillColor rgb="FFFF0000"/>
              <x14:negativeBorderColor rgb="FFFF0000"/>
              <x14:axisColor rgb="FF000000"/>
            </x14:dataBar>
          </x14:cfRule>
          <xm:sqref>E6:E12</xm:sqref>
        </x14:conditionalFormatting>
        <x14:conditionalFormatting xmlns:xm="http://schemas.microsoft.com/office/excel/2006/main">
          <x14:cfRule type="dataBar" id="{81250DD5-0D7B-46CF-841B-4293AC3FD00C}">
            <x14:dataBar minLength="0" maxLength="100" border="1" negativeBarBorderColorSameAsPositive="0">
              <x14:cfvo type="autoMin"/>
              <x14:cfvo type="autoMax"/>
              <x14:borderColor rgb="FF638EC6"/>
              <x14:negativeFillColor rgb="FFFF0000"/>
              <x14:negativeBorderColor rgb="FFFF0000"/>
              <x14:axisColor rgb="FF000000"/>
            </x14:dataBar>
          </x14:cfRule>
          <xm:sqref>B16:B17</xm:sqref>
        </x14:conditionalFormatting>
        <x14:conditionalFormatting xmlns:xm="http://schemas.microsoft.com/office/excel/2006/main">
          <x14:cfRule type="iconSet" priority="5" id="{4E69064B-CE9E-458C-B628-8FBB206298A1}">
            <x14:iconSet iconSet="3Triangles">
              <x14:cfvo type="percent">
                <xm:f>0</xm:f>
              </x14:cfvo>
              <x14:cfvo type="num">
                <xm:f>0</xm:f>
              </x14:cfvo>
              <x14:cfvo type="num" gte="0">
                <xm:f>0</xm:f>
              </x14:cfvo>
            </x14:iconSet>
          </x14:cfRule>
          <xm:sqref>G6:G12</xm:sqref>
        </x14:conditionalFormatting>
        <x14:conditionalFormatting xmlns:xm="http://schemas.microsoft.com/office/excel/2006/main">
          <x14:cfRule type="iconSet" priority="4" id="{19502930-FD83-461F-BD6C-63C8AE0C9155}">
            <x14:iconSet iconSet="3Triangles">
              <x14:cfvo type="percent">
                <xm:f>0</xm:f>
              </x14:cfvo>
              <x14:cfvo type="num">
                <xm:f>0</xm:f>
              </x14:cfvo>
              <x14:cfvo type="num" gte="0">
                <xm:f>0</xm:f>
              </x14:cfvo>
            </x14:iconSet>
          </x14:cfRule>
          <xm:sqref>I6:I12</xm:sqref>
        </x14:conditionalFormatting>
        <x14:conditionalFormatting xmlns:xm="http://schemas.microsoft.com/office/excel/2006/main">
          <x14:cfRule type="iconSet" priority="3" id="{4FA6793C-DD12-468E-B097-6D7519F1E36E}">
            <x14:iconSet iconSet="3Triangles">
              <x14:cfvo type="percent">
                <xm:f>0</xm:f>
              </x14:cfvo>
              <x14:cfvo type="num">
                <xm:f>0</xm:f>
              </x14:cfvo>
              <x14:cfvo type="num" gte="0">
                <xm:f>0</xm:f>
              </x14:cfvo>
            </x14:iconSet>
          </x14:cfRule>
          <xm:sqref>G2</xm:sqref>
        </x14:conditionalFormatting>
        <x14:conditionalFormatting xmlns:xm="http://schemas.microsoft.com/office/excel/2006/main">
          <x14:cfRule type="iconSet" priority="2" id="{FA6420BC-A68F-4C3E-85F0-DED63270EABF}">
            <x14:iconSet iconSet="3Triangles">
              <x14:cfvo type="percent">
                <xm:f>0</xm:f>
              </x14:cfvo>
              <x14:cfvo type="num">
                <xm:f>0</xm:f>
              </x14:cfvo>
              <x14:cfvo type="num" gte="0">
                <xm:f>0</xm:f>
              </x14:cfvo>
            </x14:iconSet>
          </x14:cfRule>
          <xm:sqref>I2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9C4C1-489A-4EBF-A089-10165820AE06}">
  <sheetPr codeName="Sheet2"/>
  <dimension ref="A1:BN500"/>
  <sheetViews>
    <sheetView topLeftCell="A21" workbookViewId="0">
      <selection activeCell="F28" sqref="F28"/>
    </sheetView>
  </sheetViews>
  <sheetFormatPr defaultRowHeight="14.25" x14ac:dyDescent="0.45"/>
  <cols>
    <col min="1" max="1" width="11.265625" customWidth="1"/>
    <col min="2" max="2" width="24.59765625" customWidth="1"/>
    <col min="3" max="3" width="17.265625" customWidth="1"/>
    <col min="4" max="4" width="15.73046875" customWidth="1"/>
    <col min="5" max="5" width="14.59765625" customWidth="1"/>
    <col min="6" max="6" width="9.86328125" customWidth="1"/>
    <col min="7" max="7" width="19" customWidth="1"/>
    <col min="8" max="8" width="14.265625" customWidth="1"/>
    <col min="9" max="9" width="9.59765625" customWidth="1"/>
    <col min="11" max="11" width="10.796875" customWidth="1"/>
    <col min="12" max="12" width="25.1328125" customWidth="1"/>
    <col min="13" max="14" width="16.265625" customWidth="1"/>
    <col min="15" max="15" width="11.3984375" customWidth="1"/>
    <col min="16" max="16" width="9.86328125" customWidth="1"/>
    <col min="17" max="17" width="20.1328125" customWidth="1"/>
    <col min="18" max="18" width="9.86328125" customWidth="1"/>
    <col min="21" max="21" width="11.19921875" customWidth="1"/>
    <col min="22" max="22" width="30.86328125" customWidth="1"/>
    <col min="23" max="23" width="16.1328125" customWidth="1"/>
    <col min="24" max="24" width="15" customWidth="1"/>
    <col min="25" max="25" width="11.1328125" customWidth="1"/>
    <col min="26" max="26" width="12.59765625" customWidth="1"/>
    <col min="27" max="27" width="18.86328125" customWidth="1"/>
    <col min="28" max="28" width="9.86328125" customWidth="1"/>
    <col min="31" max="31" width="10.86328125" customWidth="1"/>
    <col min="32" max="32" width="23" customWidth="1"/>
    <col min="33" max="33" width="17.86328125" customWidth="1"/>
    <col min="34" max="34" width="18" customWidth="1"/>
    <col min="37" max="37" width="19" customWidth="1"/>
    <col min="38" max="38" width="10.59765625" customWidth="1"/>
    <col min="42" max="42" width="22.86328125" customWidth="1"/>
    <col min="43" max="43" width="16.86328125" customWidth="1"/>
    <col min="44" max="44" width="16" customWidth="1"/>
    <col min="45" max="45" width="11" customWidth="1"/>
    <col min="47" max="47" width="20.59765625" customWidth="1"/>
    <col min="48" max="48" width="12" customWidth="1"/>
    <col min="52" max="52" width="22.86328125" customWidth="1"/>
    <col min="53" max="53" width="16.86328125" customWidth="1"/>
    <col min="54" max="54" width="16" customWidth="1"/>
    <col min="55" max="55" width="11" customWidth="1"/>
    <col min="57" max="57" width="20.59765625" customWidth="1"/>
    <col min="58" max="58" width="12" customWidth="1"/>
    <col min="62" max="62" width="22.86328125" customWidth="1"/>
    <col min="63" max="63" width="16.86328125" customWidth="1"/>
    <col min="64" max="64" width="16" customWidth="1"/>
    <col min="65" max="65" width="11" customWidth="1"/>
    <col min="67" max="67" width="20.59765625" customWidth="1"/>
    <col min="68" max="68" width="12" customWidth="1"/>
  </cols>
  <sheetData>
    <row r="1" spans="1:66" x14ac:dyDescent="0.45">
      <c r="M1" s="41" t="s">
        <v>8</v>
      </c>
      <c r="N1" s="41"/>
      <c r="O1" s="41"/>
      <c r="P1" s="41"/>
      <c r="W1" s="41" t="s">
        <v>8</v>
      </c>
      <c r="X1" s="41"/>
      <c r="Y1" s="41"/>
      <c r="Z1" s="41"/>
      <c r="AG1" s="41" t="s">
        <v>8</v>
      </c>
      <c r="AH1" s="41"/>
      <c r="AI1" s="41"/>
      <c r="AJ1" s="41"/>
      <c r="AQ1" s="41" t="s">
        <v>8</v>
      </c>
      <c r="AR1" s="41"/>
      <c r="AS1" s="41"/>
      <c r="AT1" s="41"/>
      <c r="BK1" s="41"/>
      <c r="BL1" s="41"/>
      <c r="BM1" s="41"/>
      <c r="BN1" s="41"/>
    </row>
    <row r="2" spans="1:66" x14ac:dyDescent="0.45">
      <c r="C2" s="41" t="s">
        <v>23</v>
      </c>
      <c r="D2" s="41"/>
      <c r="E2" s="41"/>
      <c r="G2" s="29" t="s">
        <v>26</v>
      </c>
      <c r="H2" s="29"/>
      <c r="M2" s="41" t="s">
        <v>27</v>
      </c>
      <c r="N2" s="41"/>
      <c r="O2" s="41"/>
      <c r="P2" s="41"/>
      <c r="W2" s="41" t="s">
        <v>28</v>
      </c>
      <c r="X2" s="41"/>
      <c r="Y2" s="41"/>
      <c r="Z2" s="41"/>
      <c r="AG2" s="41" t="s">
        <v>29</v>
      </c>
      <c r="AH2" s="41"/>
      <c r="AI2" s="41"/>
      <c r="AJ2" s="41"/>
      <c r="AQ2" s="41" t="s">
        <v>30</v>
      </c>
      <c r="AR2" s="41"/>
      <c r="AS2" s="41"/>
      <c r="AT2" s="41"/>
      <c r="BK2" s="41"/>
      <c r="BL2" s="41"/>
      <c r="BM2" s="41"/>
      <c r="BN2" s="41"/>
    </row>
    <row r="4" spans="1:66" x14ac:dyDescent="0.45">
      <c r="A4" t="s">
        <v>3</v>
      </c>
      <c r="B4" t="s">
        <v>4</v>
      </c>
      <c r="C4" t="s">
        <v>15</v>
      </c>
      <c r="D4" t="s">
        <v>8</v>
      </c>
      <c r="E4" t="s">
        <v>5</v>
      </c>
      <c r="F4" t="s">
        <v>6</v>
      </c>
      <c r="G4" t="s">
        <v>7</v>
      </c>
      <c r="H4" t="s">
        <v>9</v>
      </c>
      <c r="K4" t="s">
        <v>3</v>
      </c>
      <c r="L4" t="s">
        <v>4</v>
      </c>
      <c r="M4" t="s">
        <v>15</v>
      </c>
      <c r="N4" t="s">
        <v>8</v>
      </c>
      <c r="O4" t="s">
        <v>5</v>
      </c>
      <c r="P4" t="s">
        <v>6</v>
      </c>
      <c r="Q4" t="s">
        <v>7</v>
      </c>
      <c r="R4" t="s">
        <v>9</v>
      </c>
      <c r="U4" s="18" t="s">
        <v>3</v>
      </c>
      <c r="V4" s="19" t="s">
        <v>4</v>
      </c>
      <c r="W4" s="19" t="s">
        <v>15</v>
      </c>
      <c r="X4" s="19" t="s">
        <v>8</v>
      </c>
      <c r="Y4" s="19" t="s">
        <v>5</v>
      </c>
      <c r="Z4" s="19" t="s">
        <v>6</v>
      </c>
      <c r="AA4" s="19" t="s">
        <v>7</v>
      </c>
      <c r="AB4" s="20" t="s">
        <v>9</v>
      </c>
      <c r="AE4" s="18" t="s">
        <v>3</v>
      </c>
      <c r="AF4" s="19" t="s">
        <v>4</v>
      </c>
      <c r="AG4" s="19" t="s">
        <v>15</v>
      </c>
      <c r="AH4" s="19" t="s">
        <v>8</v>
      </c>
      <c r="AI4" s="19" t="s">
        <v>5</v>
      </c>
      <c r="AJ4" s="19" t="s">
        <v>6</v>
      </c>
      <c r="AK4" s="19" t="s">
        <v>7</v>
      </c>
      <c r="AL4" s="20" t="s">
        <v>9</v>
      </c>
      <c r="AO4" s="18" t="s">
        <v>3</v>
      </c>
      <c r="AP4" s="19" t="s">
        <v>4</v>
      </c>
      <c r="AQ4" s="19" t="s">
        <v>15</v>
      </c>
      <c r="AR4" s="19" t="s">
        <v>8</v>
      </c>
      <c r="AS4" s="19" t="s">
        <v>5</v>
      </c>
      <c r="AT4" s="19" t="s">
        <v>6</v>
      </c>
      <c r="AU4" s="19" t="s">
        <v>7</v>
      </c>
      <c r="AV4" s="20" t="s">
        <v>9</v>
      </c>
    </row>
    <row r="5" spans="1:66" x14ac:dyDescent="0.45">
      <c r="A5" s="1">
        <v>44083</v>
      </c>
      <c r="B5" t="e" vm="5">
        <v>#VALUE!</v>
      </c>
      <c r="C5" t="s">
        <v>10</v>
      </c>
      <c r="D5" t="s">
        <v>27</v>
      </c>
      <c r="E5">
        <f>Ledger[[#This Row],[Transaction amount]]/Ledger[[#This Row],[Price]]</f>
        <v>0.76286271296584074</v>
      </c>
      <c r="F5" s="21">
        <v>353.93</v>
      </c>
      <c r="G5">
        <v>270</v>
      </c>
      <c r="H5" t="s">
        <v>11</v>
      </c>
      <c r="K5" s="1">
        <v>44083</v>
      </c>
      <c r="L5" t="e" vm="5">
        <v>#VALUE!</v>
      </c>
      <c r="M5" t="s">
        <v>10</v>
      </c>
      <c r="N5" t="s">
        <v>27</v>
      </c>
      <c r="O5">
        <v>0.76286271296584074</v>
      </c>
      <c r="P5" s="21">
        <v>353.93</v>
      </c>
      <c r="Q5">
        <v>270</v>
      </c>
      <c r="R5" t="s">
        <v>11</v>
      </c>
      <c r="U5" s="1">
        <v>44088</v>
      </c>
      <c r="V5" t="e" vm="5">
        <v>#VALUE!</v>
      </c>
      <c r="W5" t="s">
        <v>10</v>
      </c>
      <c r="X5" t="s">
        <v>28</v>
      </c>
      <c r="Y5">
        <v>1.279263144428809</v>
      </c>
      <c r="Z5" s="21">
        <v>390.85</v>
      </c>
      <c r="AA5">
        <v>500</v>
      </c>
      <c r="AB5" t="s">
        <v>11</v>
      </c>
      <c r="AE5" s="1">
        <v>44088</v>
      </c>
      <c r="AF5" t="e" vm="5">
        <v>#VALUE!</v>
      </c>
      <c r="AG5" t="s">
        <v>10</v>
      </c>
      <c r="AH5" s="25" t="s">
        <v>29</v>
      </c>
      <c r="AI5">
        <v>1.0234105155430471</v>
      </c>
      <c r="AJ5" s="21">
        <v>390.85</v>
      </c>
      <c r="AK5">
        <v>400</v>
      </c>
      <c r="AL5" t="s">
        <v>11</v>
      </c>
      <c r="AO5" s="1">
        <v>44089</v>
      </c>
      <c r="AP5" t="e" vm="4">
        <v>#VALUE!</v>
      </c>
      <c r="AQ5" t="s">
        <v>10</v>
      </c>
      <c r="AR5" s="25" t="s">
        <v>30</v>
      </c>
      <c r="AS5">
        <v>2.1384783538468848</v>
      </c>
      <c r="AT5" s="21">
        <v>210.43</v>
      </c>
      <c r="AU5">
        <v>450</v>
      </c>
      <c r="AV5" t="s">
        <v>11</v>
      </c>
    </row>
    <row r="6" spans="1:66" x14ac:dyDescent="0.45">
      <c r="A6" s="1">
        <v>44085</v>
      </c>
      <c r="B6" t="e" vm="5">
        <v>#VALUE!</v>
      </c>
      <c r="C6" t="s">
        <v>10</v>
      </c>
      <c r="D6" t="s">
        <v>27</v>
      </c>
      <c r="E6">
        <f>Ledger[[#This Row],[Transaction amount]]/Ledger[[#This Row],[Price]]</f>
        <v>0.40470588235294119</v>
      </c>
      <c r="F6" s="21">
        <v>382.5</v>
      </c>
      <c r="G6">
        <v>154.80000000000001</v>
      </c>
      <c r="H6" t="s">
        <v>11</v>
      </c>
      <c r="K6" s="1">
        <v>44085</v>
      </c>
      <c r="L6" t="e" vm="5">
        <v>#VALUE!</v>
      </c>
      <c r="M6" t="s">
        <v>10</v>
      </c>
      <c r="N6" t="s">
        <v>27</v>
      </c>
      <c r="O6">
        <v>0.40470588235294119</v>
      </c>
      <c r="P6" s="21">
        <v>382.5</v>
      </c>
      <c r="Q6">
        <v>154.80000000000001</v>
      </c>
      <c r="R6" t="s">
        <v>11</v>
      </c>
      <c r="U6" s="1">
        <v>44091</v>
      </c>
      <c r="V6" t="e" vm="4">
        <v>#VALUE!</v>
      </c>
      <c r="W6" t="s">
        <v>10</v>
      </c>
      <c r="X6" s="25" t="s">
        <v>28</v>
      </c>
      <c r="Y6">
        <v>1.1886083773118432</v>
      </c>
      <c r="Z6" s="21">
        <v>210.33</v>
      </c>
      <c r="AA6">
        <v>250</v>
      </c>
      <c r="AB6" t="s">
        <v>11</v>
      </c>
      <c r="AE6" s="1">
        <v>44090</v>
      </c>
      <c r="AF6" t="e" vm="4">
        <v>#VALUE!</v>
      </c>
      <c r="AG6" t="s">
        <v>10</v>
      </c>
      <c r="AH6" s="25" t="s">
        <v>29</v>
      </c>
      <c r="AI6">
        <v>2.8625954198473282</v>
      </c>
      <c r="AJ6" s="21">
        <v>209.6</v>
      </c>
      <c r="AK6">
        <v>600</v>
      </c>
      <c r="AL6" t="s">
        <v>11</v>
      </c>
      <c r="AO6" s="1">
        <v>44152</v>
      </c>
      <c r="AP6" t="e" vm="5">
        <v>#VALUE!</v>
      </c>
      <c r="AQ6" t="s">
        <v>10</v>
      </c>
      <c r="AR6" t="s">
        <v>30</v>
      </c>
      <c r="AS6">
        <v>2.6912467200430599</v>
      </c>
      <c r="AT6" s="21">
        <v>445.89</v>
      </c>
      <c r="AU6">
        <v>1200</v>
      </c>
      <c r="AV6" t="s">
        <v>11</v>
      </c>
      <c r="BI6" s="1"/>
    </row>
    <row r="7" spans="1:66" x14ac:dyDescent="0.45">
      <c r="A7" s="1">
        <v>44088</v>
      </c>
      <c r="B7" t="e" vm="5">
        <v>#VALUE!</v>
      </c>
      <c r="C7" t="s">
        <v>10</v>
      </c>
      <c r="D7" t="s">
        <v>28</v>
      </c>
      <c r="E7">
        <f>Ledger[[#This Row],[Transaction amount]]/Ledger[[#This Row],[Price]]</f>
        <v>1.279263144428809</v>
      </c>
      <c r="F7" s="21">
        <v>390.85</v>
      </c>
      <c r="G7">
        <v>500</v>
      </c>
      <c r="H7" t="s">
        <v>11</v>
      </c>
      <c r="K7" s="1">
        <v>44089</v>
      </c>
      <c r="L7" t="e" vm="4">
        <v>#VALUE!</v>
      </c>
      <c r="M7" t="s">
        <v>10</v>
      </c>
      <c r="N7" s="25" t="s">
        <v>27</v>
      </c>
      <c r="O7">
        <v>2.1450021450021453</v>
      </c>
      <c r="P7" s="21">
        <v>209.79</v>
      </c>
      <c r="Q7">
        <v>450</v>
      </c>
      <c r="R7" t="s">
        <v>11</v>
      </c>
      <c r="U7" s="1">
        <v>44091</v>
      </c>
      <c r="V7" t="e" vm="4">
        <v>#VALUE!</v>
      </c>
      <c r="W7" t="s">
        <v>10</v>
      </c>
      <c r="X7" s="25" t="s">
        <v>28</v>
      </c>
      <c r="Y7">
        <v>0.47619047619047616</v>
      </c>
      <c r="Z7" s="21">
        <v>210</v>
      </c>
      <c r="AA7">
        <v>100</v>
      </c>
      <c r="AB7" t="s">
        <v>11</v>
      </c>
      <c r="AE7" s="1">
        <v>44160</v>
      </c>
      <c r="AF7" t="e" vm="3">
        <v>#VALUE!</v>
      </c>
      <c r="AG7" t="s">
        <v>10</v>
      </c>
      <c r="AH7" s="25" t="s">
        <v>29</v>
      </c>
      <c r="AI7">
        <v>6.4814814814814818</v>
      </c>
      <c r="AJ7" s="21">
        <v>54</v>
      </c>
      <c r="AK7">
        <v>350</v>
      </c>
      <c r="AL7" t="s">
        <v>11</v>
      </c>
      <c r="AO7" s="1">
        <v>44161</v>
      </c>
      <c r="AP7" t="e" vm="3">
        <v>#VALUE!</v>
      </c>
      <c r="AQ7" t="s">
        <v>10</v>
      </c>
      <c r="AR7" s="25" t="s">
        <v>30</v>
      </c>
      <c r="AS7">
        <v>9.1566706345572761</v>
      </c>
      <c r="AT7" s="21">
        <v>54.604999999999997</v>
      </c>
      <c r="AU7">
        <v>500</v>
      </c>
      <c r="AV7" t="s">
        <v>11</v>
      </c>
      <c r="BI7" s="1"/>
    </row>
    <row r="8" spans="1:66" x14ac:dyDescent="0.45">
      <c r="A8" s="1">
        <v>44088</v>
      </c>
      <c r="B8" t="e" vm="5">
        <v>#VALUE!</v>
      </c>
      <c r="C8" t="s">
        <v>10</v>
      </c>
      <c r="D8" s="25" t="s">
        <v>29</v>
      </c>
      <c r="E8">
        <f>G8/F8</f>
        <v>1.0234105155430471</v>
      </c>
      <c r="F8" s="21">
        <v>390.85</v>
      </c>
      <c r="G8">
        <v>400</v>
      </c>
      <c r="H8" t="s">
        <v>11</v>
      </c>
      <c r="K8" s="1">
        <v>44102</v>
      </c>
      <c r="L8" s="9" t="e" vm="2">
        <v>#VALUE!</v>
      </c>
      <c r="M8" t="s">
        <v>10</v>
      </c>
      <c r="N8" t="s">
        <v>27</v>
      </c>
      <c r="O8">
        <v>1.2204902883844198</v>
      </c>
      <c r="P8" s="21">
        <v>286.77</v>
      </c>
      <c r="Q8">
        <v>350</v>
      </c>
      <c r="R8" t="s">
        <v>11</v>
      </c>
      <c r="U8" s="1">
        <v>44102</v>
      </c>
      <c r="V8" s="9" t="e" vm="2">
        <v>#VALUE!</v>
      </c>
      <c r="W8" t="s">
        <v>10</v>
      </c>
      <c r="X8" t="s">
        <v>28</v>
      </c>
      <c r="Y8">
        <v>1.279263144428809</v>
      </c>
      <c r="Z8" s="21">
        <v>390.85</v>
      </c>
      <c r="AA8">
        <v>500</v>
      </c>
      <c r="AB8" t="s">
        <v>11</v>
      </c>
      <c r="AE8" s="1">
        <v>44235</v>
      </c>
      <c r="AF8" t="e" vm="5">
        <v>#VALUE!</v>
      </c>
      <c r="AG8" t="s">
        <v>10</v>
      </c>
      <c r="AH8" t="s">
        <v>29</v>
      </c>
      <c r="AI8">
        <v>0.28986026928237635</v>
      </c>
      <c r="AJ8" s="21">
        <v>864.52</v>
      </c>
      <c r="AK8">
        <v>250.59</v>
      </c>
      <c r="AL8" t="s">
        <v>11</v>
      </c>
      <c r="AO8" s="1">
        <v>44235</v>
      </c>
      <c r="AP8" t="e" vm="5">
        <v>#VALUE!</v>
      </c>
      <c r="AQ8" t="s">
        <v>10</v>
      </c>
      <c r="AR8" t="s">
        <v>30</v>
      </c>
      <c r="AS8">
        <v>0.69402674316383661</v>
      </c>
      <c r="AT8" s="21">
        <v>864.52</v>
      </c>
      <c r="AU8">
        <v>600</v>
      </c>
      <c r="AV8" t="s">
        <v>11</v>
      </c>
      <c r="BI8" s="1"/>
    </row>
    <row r="9" spans="1:66" x14ac:dyDescent="0.45">
      <c r="A9" s="1">
        <v>44089</v>
      </c>
      <c r="B9" t="e" vm="4">
        <v>#VALUE!</v>
      </c>
      <c r="C9" t="s">
        <v>10</v>
      </c>
      <c r="D9" s="25" t="s">
        <v>30</v>
      </c>
      <c r="E9">
        <f>Ledger[[#This Row],[Transaction amount]]/F9</f>
        <v>2.1384783538468848</v>
      </c>
      <c r="F9" s="21">
        <v>210.43</v>
      </c>
      <c r="G9">
        <v>450</v>
      </c>
      <c r="H9" t="s">
        <v>11</v>
      </c>
      <c r="K9" s="22">
        <v>44102</v>
      </c>
      <c r="L9" s="24" t="e" vm="2">
        <v>#VALUE!</v>
      </c>
      <c r="M9" s="24" t="s">
        <v>10</v>
      </c>
      <c r="N9" t="s">
        <v>27</v>
      </c>
      <c r="O9">
        <v>0.69742302193395411</v>
      </c>
      <c r="P9" s="26">
        <v>286.77</v>
      </c>
      <c r="Q9" s="24">
        <v>200</v>
      </c>
      <c r="R9" s="28" t="s">
        <v>11</v>
      </c>
      <c r="U9" s="1">
        <v>44125</v>
      </c>
      <c r="V9" t="e" vm="5">
        <v>#VALUE!</v>
      </c>
      <c r="W9" t="s">
        <v>10</v>
      </c>
      <c r="X9" t="s">
        <v>28</v>
      </c>
      <c r="Y9">
        <v>0.64410352500292778</v>
      </c>
      <c r="Z9" s="21">
        <v>426.95</v>
      </c>
      <c r="AA9">
        <v>275</v>
      </c>
      <c r="AB9" t="s">
        <v>11</v>
      </c>
      <c r="AE9" s="1">
        <v>44250</v>
      </c>
      <c r="AF9" t="e" vm="5">
        <v>#VALUE!</v>
      </c>
      <c r="AG9" t="s">
        <v>10</v>
      </c>
      <c r="AH9" t="s">
        <v>29</v>
      </c>
      <c r="AI9">
        <v>0.19315460094259446</v>
      </c>
      <c r="AJ9" s="21">
        <v>647.15</v>
      </c>
      <c r="AK9">
        <v>125</v>
      </c>
      <c r="AL9" t="s">
        <v>11</v>
      </c>
      <c r="AO9" s="32">
        <v>44403</v>
      </c>
      <c r="AP9" s="9" t="e" vm="2">
        <v>#VALUE!</v>
      </c>
      <c r="AQ9" s="9" t="s">
        <v>10</v>
      </c>
      <c r="AR9" t="s">
        <v>30</v>
      </c>
      <c r="AS9">
        <v>0.17011834319526628</v>
      </c>
      <c r="AT9" s="34">
        <v>2704</v>
      </c>
      <c r="AU9" s="9">
        <v>460</v>
      </c>
      <c r="AV9" s="9" t="s">
        <v>11</v>
      </c>
      <c r="BI9" s="1"/>
    </row>
    <row r="10" spans="1:66" x14ac:dyDescent="0.45">
      <c r="A10" s="1">
        <v>44089</v>
      </c>
      <c r="B10" t="e" vm="4">
        <v>#VALUE!</v>
      </c>
      <c r="C10" t="s">
        <v>10</v>
      </c>
      <c r="D10" s="25" t="s">
        <v>27</v>
      </c>
      <c r="E10">
        <f>Ledger[[#This Row],[Transaction amount]]/F10</f>
        <v>2.1450021450021453</v>
      </c>
      <c r="F10" s="21">
        <v>209.79</v>
      </c>
      <c r="G10">
        <v>450</v>
      </c>
      <c r="H10" t="s">
        <v>11</v>
      </c>
      <c r="K10" s="32">
        <v>44125</v>
      </c>
      <c r="L10" s="9" t="e" vm="5">
        <v>#VALUE!</v>
      </c>
      <c r="M10" s="9" t="s">
        <v>10</v>
      </c>
      <c r="N10" t="s">
        <v>27</v>
      </c>
      <c r="O10">
        <v>0.81976812273099897</v>
      </c>
      <c r="P10" s="34">
        <v>426.95</v>
      </c>
      <c r="Q10" s="9">
        <v>350</v>
      </c>
      <c r="R10" s="9" t="s">
        <v>11</v>
      </c>
      <c r="U10" s="1">
        <v>44152</v>
      </c>
      <c r="V10" t="e" vm="5">
        <v>#VALUE!</v>
      </c>
      <c r="W10" t="s">
        <v>10</v>
      </c>
      <c r="X10" t="s">
        <v>28</v>
      </c>
      <c r="Y10">
        <v>0.50590219224283306</v>
      </c>
      <c r="Z10" s="21">
        <v>444.75</v>
      </c>
      <c r="AA10">
        <v>225</v>
      </c>
      <c r="AB10" t="s">
        <v>11</v>
      </c>
      <c r="AE10" s="32">
        <v>44250</v>
      </c>
      <c r="AF10" s="9" t="e" vm="5">
        <v>#VALUE!</v>
      </c>
      <c r="AG10" s="9" t="s">
        <v>10</v>
      </c>
      <c r="AH10" t="s">
        <v>29</v>
      </c>
      <c r="AI10">
        <v>0.19554470934234403</v>
      </c>
      <c r="AJ10" s="34">
        <v>639.24</v>
      </c>
      <c r="AK10" s="9">
        <v>125</v>
      </c>
      <c r="AL10" s="9" t="s">
        <v>11</v>
      </c>
      <c r="AO10" s="1"/>
      <c r="AT10" s="21"/>
      <c r="BI10" s="1"/>
    </row>
    <row r="11" spans="1:66" x14ac:dyDescent="0.45">
      <c r="A11" s="1">
        <v>44090</v>
      </c>
      <c r="B11" t="e" vm="4">
        <v>#VALUE!</v>
      </c>
      <c r="C11" t="s">
        <v>10</v>
      </c>
      <c r="D11" s="25" t="s">
        <v>29</v>
      </c>
      <c r="E11">
        <f>Ledger[[#This Row],[Transaction amount]]/F11</f>
        <v>2.8625954198473282</v>
      </c>
      <c r="F11" s="21">
        <v>209.6</v>
      </c>
      <c r="G11">
        <v>600</v>
      </c>
      <c r="H11" t="s">
        <v>11</v>
      </c>
      <c r="K11" s="1">
        <v>44152</v>
      </c>
      <c r="L11" t="e" vm="5">
        <v>#VALUE!</v>
      </c>
      <c r="M11" t="s">
        <v>10</v>
      </c>
      <c r="N11" t="s">
        <v>27</v>
      </c>
      <c r="O11">
        <v>0.89938167509836986</v>
      </c>
      <c r="P11" s="21">
        <v>444.75</v>
      </c>
      <c r="Q11">
        <v>400</v>
      </c>
      <c r="R11" t="s">
        <v>11</v>
      </c>
      <c r="U11" s="1">
        <v>44152</v>
      </c>
      <c r="V11" t="e" vm="5">
        <v>#VALUE!</v>
      </c>
      <c r="W11" t="s">
        <v>10</v>
      </c>
      <c r="X11" t="s">
        <v>28</v>
      </c>
      <c r="Y11">
        <v>1.0342889263631254</v>
      </c>
      <c r="Z11" s="21">
        <v>444.75</v>
      </c>
      <c r="AA11">
        <v>460</v>
      </c>
      <c r="AB11" t="s">
        <v>11</v>
      </c>
      <c r="AE11" s="1">
        <v>44250</v>
      </c>
      <c r="AF11" t="e" vm="5">
        <v>#VALUE!</v>
      </c>
      <c r="AG11" t="s">
        <v>10</v>
      </c>
      <c r="AH11" t="s">
        <v>29</v>
      </c>
      <c r="AI11">
        <v>0.19315460094259446</v>
      </c>
      <c r="AJ11" s="21">
        <v>647.15</v>
      </c>
      <c r="AK11">
        <v>125</v>
      </c>
      <c r="AL11" t="s">
        <v>11</v>
      </c>
      <c r="AO11" s="1"/>
      <c r="AT11" s="21"/>
      <c r="BI11" s="1"/>
    </row>
    <row r="12" spans="1:66" x14ac:dyDescent="0.45">
      <c r="A12" s="1">
        <v>44091</v>
      </c>
      <c r="B12" t="e" vm="4">
        <v>#VALUE!</v>
      </c>
      <c r="C12" t="s">
        <v>10</v>
      </c>
      <c r="D12" s="25" t="s">
        <v>28</v>
      </c>
      <c r="E12">
        <f>Ledger[[#This Row],[Transaction amount]]/F12</f>
        <v>1.1886083773118432</v>
      </c>
      <c r="F12" s="21">
        <v>210.33</v>
      </c>
      <c r="G12">
        <v>250</v>
      </c>
      <c r="H12" t="s">
        <v>11</v>
      </c>
      <c r="K12" s="1">
        <v>44152</v>
      </c>
      <c r="L12" t="e" vm="5">
        <v>#VALUE!</v>
      </c>
      <c r="M12" t="s">
        <v>10</v>
      </c>
      <c r="N12" t="s">
        <v>27</v>
      </c>
      <c r="O12">
        <v>1.5847860538827259</v>
      </c>
      <c r="P12" s="21">
        <v>441.7</v>
      </c>
      <c r="Q12">
        <v>700</v>
      </c>
      <c r="R12" t="s">
        <v>11</v>
      </c>
      <c r="U12" s="1">
        <v>44152</v>
      </c>
      <c r="V12" t="e" vm="5">
        <v>#VALUE!</v>
      </c>
      <c r="W12" t="s">
        <v>10</v>
      </c>
      <c r="X12" t="s">
        <v>28</v>
      </c>
      <c r="Y12">
        <v>0.76714801444043323</v>
      </c>
      <c r="Z12" s="21">
        <v>443.2</v>
      </c>
      <c r="AA12">
        <v>340</v>
      </c>
      <c r="AB12" t="s">
        <v>11</v>
      </c>
      <c r="AE12" s="32">
        <v>44250</v>
      </c>
      <c r="AF12" s="9" t="e" vm="5">
        <v>#VALUE!</v>
      </c>
      <c r="AG12" s="9" t="s">
        <v>10</v>
      </c>
      <c r="AH12" t="s">
        <v>29</v>
      </c>
      <c r="AI12">
        <v>0.39108941868468805</v>
      </c>
      <c r="AJ12" s="34">
        <v>639.24</v>
      </c>
      <c r="AK12" s="9">
        <v>250</v>
      </c>
      <c r="AL12" s="9" t="s">
        <v>11</v>
      </c>
      <c r="AO12" s="1"/>
      <c r="AT12" s="21"/>
      <c r="BI12" s="1"/>
    </row>
    <row r="13" spans="1:66" x14ac:dyDescent="0.45">
      <c r="A13" s="1">
        <v>44091</v>
      </c>
      <c r="B13" t="e" vm="4">
        <v>#VALUE!</v>
      </c>
      <c r="C13" t="s">
        <v>10</v>
      </c>
      <c r="D13" s="25" t="s">
        <v>28</v>
      </c>
      <c r="E13">
        <f>Ledger[[#This Row],[Transaction amount]]/F13</f>
        <v>0.47619047619047616</v>
      </c>
      <c r="F13" s="21">
        <v>210</v>
      </c>
      <c r="G13">
        <v>100</v>
      </c>
      <c r="H13" t="s">
        <v>11</v>
      </c>
      <c r="K13" s="1">
        <v>44160</v>
      </c>
      <c r="L13" t="e" vm="3">
        <v>#VALUE!</v>
      </c>
      <c r="M13" t="s">
        <v>10</v>
      </c>
      <c r="N13" s="25" t="s">
        <v>27</v>
      </c>
      <c r="O13">
        <v>9.2592592592592595</v>
      </c>
      <c r="P13" s="21">
        <v>54</v>
      </c>
      <c r="Q13">
        <v>500</v>
      </c>
      <c r="R13" t="s">
        <v>11</v>
      </c>
      <c r="U13" s="1">
        <v>44160</v>
      </c>
      <c r="V13" t="e" vm="3">
        <v>#VALUE!</v>
      </c>
      <c r="W13" t="s">
        <v>10</v>
      </c>
      <c r="X13" s="25" t="s">
        <v>28</v>
      </c>
      <c r="Y13">
        <v>1.847489723338414</v>
      </c>
      <c r="Z13" s="21">
        <v>54.127499999999998</v>
      </c>
      <c r="AA13">
        <v>100</v>
      </c>
      <c r="AB13" t="s">
        <v>11</v>
      </c>
      <c r="AE13" s="1">
        <v>44293</v>
      </c>
      <c r="AF13" t="e" vm="3">
        <v>#VALUE!</v>
      </c>
      <c r="AG13" t="s">
        <v>10</v>
      </c>
      <c r="AH13" t="s">
        <v>29</v>
      </c>
      <c r="AI13">
        <v>2.8063885764108001</v>
      </c>
      <c r="AJ13" s="21">
        <v>164.01150000000001</v>
      </c>
      <c r="AK13">
        <v>460.28</v>
      </c>
      <c r="AL13" t="s">
        <v>11</v>
      </c>
      <c r="AO13" s="1"/>
      <c r="AT13" s="21"/>
      <c r="BI13" s="1"/>
    </row>
    <row r="14" spans="1:66" x14ac:dyDescent="0.45">
      <c r="A14" s="1">
        <v>44102</v>
      </c>
      <c r="B14" s="9" t="e" vm="2">
        <v>#VALUE!</v>
      </c>
      <c r="C14" t="s">
        <v>10</v>
      </c>
      <c r="D14" t="s">
        <v>28</v>
      </c>
      <c r="E14">
        <f>Ledger[[#This Row],[Transaction amount]]/Ledger[[#This Row],[Price]]</f>
        <v>1.279263144428809</v>
      </c>
      <c r="F14" s="21">
        <v>390.85</v>
      </c>
      <c r="G14">
        <v>500</v>
      </c>
      <c r="H14" t="s">
        <v>11</v>
      </c>
      <c r="K14" s="1">
        <v>44162</v>
      </c>
      <c r="L14" t="e" vm="3">
        <v>#VALUE!</v>
      </c>
      <c r="M14" t="s">
        <v>10</v>
      </c>
      <c r="N14" s="25" t="s">
        <v>27</v>
      </c>
      <c r="O14">
        <v>4.5852209159437303</v>
      </c>
      <c r="P14" s="21">
        <v>54.523000000000003</v>
      </c>
      <c r="Q14">
        <v>250</v>
      </c>
      <c r="R14" t="s">
        <v>11</v>
      </c>
      <c r="U14" s="32">
        <v>44238</v>
      </c>
      <c r="V14" s="9" t="e" vm="5">
        <v>#VALUE!</v>
      </c>
      <c r="W14" s="9" t="s">
        <v>10</v>
      </c>
      <c r="X14" t="s">
        <v>28</v>
      </c>
      <c r="Y14">
        <v>0.79697883714657047</v>
      </c>
      <c r="Z14" s="34">
        <v>815.58</v>
      </c>
      <c r="AA14" s="9">
        <v>650</v>
      </c>
      <c r="AB14" s="9" t="s">
        <v>11</v>
      </c>
      <c r="AE14" s="22">
        <v>44335</v>
      </c>
      <c r="AF14" s="24" t="e" vm="5">
        <v>#VALUE!</v>
      </c>
      <c r="AG14" s="24" t="s">
        <v>10</v>
      </c>
      <c r="AH14" t="s">
        <v>29</v>
      </c>
      <c r="AI14">
        <v>0.17928536852107499</v>
      </c>
      <c r="AJ14" s="26">
        <v>557.77</v>
      </c>
      <c r="AK14" s="24">
        <v>100</v>
      </c>
      <c r="AL14" s="28" t="s">
        <v>11</v>
      </c>
      <c r="AO14" s="1"/>
      <c r="AT14" s="21"/>
      <c r="BI14" s="1"/>
    </row>
    <row r="15" spans="1:66" x14ac:dyDescent="0.45">
      <c r="A15" s="1">
        <v>44102</v>
      </c>
      <c r="B15" s="9" t="e" vm="2">
        <v>#VALUE!</v>
      </c>
      <c r="C15" t="s">
        <v>10</v>
      </c>
      <c r="D15" t="s">
        <v>27</v>
      </c>
      <c r="E15">
        <f>Ledger[[#This Row],[Transaction amount]]/Ledger[[#This Row],[Price]]</f>
        <v>1.2204902883844198</v>
      </c>
      <c r="F15" s="21">
        <v>286.77</v>
      </c>
      <c r="G15">
        <v>350</v>
      </c>
      <c r="H15" t="s">
        <v>11</v>
      </c>
      <c r="K15" s="23">
        <v>44405</v>
      </c>
      <c r="L15" s="25" t="e" vm="5">
        <v>#VALUE!</v>
      </c>
      <c r="M15" s="25" t="s">
        <v>24</v>
      </c>
      <c r="N15" s="25" t="s">
        <v>27</v>
      </c>
      <c r="O15">
        <v>-0.40370942812982996</v>
      </c>
      <c r="P15" s="27">
        <v>647</v>
      </c>
      <c r="Q15" s="25">
        <v>-261.2</v>
      </c>
      <c r="R15" s="25" t="s">
        <v>11</v>
      </c>
      <c r="U15" s="32">
        <v>44238</v>
      </c>
      <c r="V15" s="9" t="e" vm="5">
        <v>#VALUE!</v>
      </c>
      <c r="W15" s="9" t="s">
        <v>10</v>
      </c>
      <c r="X15" t="s">
        <v>28</v>
      </c>
      <c r="Y15">
        <v>0.79697883714657047</v>
      </c>
      <c r="Z15" s="34">
        <v>815.58</v>
      </c>
      <c r="AA15" s="9">
        <v>650</v>
      </c>
      <c r="AB15" s="9" t="s">
        <v>11</v>
      </c>
      <c r="AE15" s="32">
        <v>44403</v>
      </c>
      <c r="AF15" s="9" t="e" vm="2">
        <v>#VALUE!</v>
      </c>
      <c r="AG15" s="9" t="s">
        <v>10</v>
      </c>
      <c r="AH15" t="s">
        <v>29</v>
      </c>
      <c r="AI15">
        <v>5.5473372781065088E-2</v>
      </c>
      <c r="AJ15" s="34">
        <v>2704</v>
      </c>
      <c r="AK15" s="9">
        <v>150</v>
      </c>
      <c r="AL15" s="9" t="s">
        <v>11</v>
      </c>
      <c r="AO15" s="1"/>
      <c r="AT15" s="21"/>
      <c r="BI15" s="1"/>
    </row>
    <row r="16" spans="1:66" x14ac:dyDescent="0.45">
      <c r="A16" s="22">
        <v>44102</v>
      </c>
      <c r="B16" s="24" t="e" vm="2">
        <v>#VALUE!</v>
      </c>
      <c r="C16" s="24" t="s">
        <v>10</v>
      </c>
      <c r="D16" t="s">
        <v>27</v>
      </c>
      <c r="E16">
        <f>Ledger[[#This Row],[Transaction amount]]/Ledger[[#This Row],[Price]]</f>
        <v>0.69742302193395411</v>
      </c>
      <c r="F16" s="26">
        <v>286.77</v>
      </c>
      <c r="G16" s="24">
        <v>200</v>
      </c>
      <c r="H16" s="28" t="s">
        <v>11</v>
      </c>
      <c r="K16" s="32">
        <v>44516</v>
      </c>
      <c r="L16" s="9" t="e" vm="5">
        <v>#VALUE!</v>
      </c>
      <c r="M16" s="9" t="s">
        <v>24</v>
      </c>
      <c r="N16" s="25" t="s">
        <v>27</v>
      </c>
      <c r="O16">
        <v>9.9652213773928994E-2</v>
      </c>
      <c r="P16" s="34">
        <v>1003.49</v>
      </c>
      <c r="Q16" s="9">
        <v>100</v>
      </c>
      <c r="R16" s="9" t="s">
        <v>11</v>
      </c>
      <c r="U16" s="1">
        <v>44530</v>
      </c>
      <c r="V16" t="e" vm="5">
        <v>#VALUE!</v>
      </c>
      <c r="W16" t="s">
        <v>24</v>
      </c>
      <c r="X16" t="s">
        <v>28</v>
      </c>
      <c r="Y16">
        <v>-1.2792631444288101</v>
      </c>
      <c r="Z16" s="21">
        <v>1126.1099999999999</v>
      </c>
      <c r="AA16">
        <v>-1440.5910195727272</v>
      </c>
      <c r="AB16" t="s">
        <v>11</v>
      </c>
      <c r="AE16" s="1">
        <v>44530</v>
      </c>
      <c r="AF16" t="e" vm="3">
        <v>#VALUE!</v>
      </c>
      <c r="AG16" t="s">
        <v>24</v>
      </c>
      <c r="AH16" t="s">
        <v>29</v>
      </c>
      <c r="AI16">
        <v>-0.14031942882053999</v>
      </c>
      <c r="AJ16" s="21">
        <v>179.6</v>
      </c>
      <c r="AK16">
        <v>-25.201369416168983</v>
      </c>
      <c r="AL16" t="s">
        <v>11</v>
      </c>
      <c r="AO16" s="22"/>
      <c r="AP16" s="24"/>
      <c r="AQ16" s="24"/>
      <c r="AT16" s="26"/>
      <c r="AU16" s="24"/>
      <c r="AV16" s="28"/>
      <c r="BI16" s="1"/>
    </row>
    <row r="17" spans="1:61" x14ac:dyDescent="0.45">
      <c r="A17" s="1">
        <v>44125</v>
      </c>
      <c r="B17" t="e" vm="5">
        <v>#VALUE!</v>
      </c>
      <c r="C17" t="s">
        <v>10</v>
      </c>
      <c r="D17" t="s">
        <v>28</v>
      </c>
      <c r="E17">
        <f>Ledger[[#This Row],[Transaction amount]]/Ledger[[#This Row],[Price]]</f>
        <v>0.64410352500292778</v>
      </c>
      <c r="F17" s="21">
        <v>426.95</v>
      </c>
      <c r="G17">
        <v>275</v>
      </c>
      <c r="H17" t="s">
        <v>11</v>
      </c>
      <c r="K17" s="1">
        <v>44516</v>
      </c>
      <c r="L17" t="e" vm="5">
        <v>#VALUE!</v>
      </c>
      <c r="M17" t="s">
        <v>24</v>
      </c>
      <c r="N17" s="25" t="s">
        <v>27</v>
      </c>
      <c r="O17">
        <v>0.14947832066089348</v>
      </c>
      <c r="P17" s="21">
        <v>1003.49</v>
      </c>
      <c r="Q17">
        <v>150</v>
      </c>
      <c r="R17" t="s">
        <v>11</v>
      </c>
      <c r="U17" s="1">
        <v>44530</v>
      </c>
      <c r="V17" t="e" vm="5">
        <v>#VALUE!</v>
      </c>
      <c r="W17" t="s">
        <v>24</v>
      </c>
      <c r="X17" t="s">
        <v>28</v>
      </c>
      <c r="Y17">
        <v>-0.644103525002928</v>
      </c>
      <c r="Z17" s="21">
        <v>1126.1099999999999</v>
      </c>
      <c r="AA17">
        <v>-725.33142054104724</v>
      </c>
      <c r="AB17" t="s">
        <v>11</v>
      </c>
      <c r="AE17" s="1">
        <v>44530</v>
      </c>
      <c r="AF17" t="e" vm="5">
        <v>#VALUE!</v>
      </c>
      <c r="AG17" t="s">
        <v>24</v>
      </c>
      <c r="AH17" t="s">
        <v>29</v>
      </c>
      <c r="AI17">
        <v>-0.17928536852107499</v>
      </c>
      <c r="AJ17" s="21">
        <v>1126.83</v>
      </c>
      <c r="AK17">
        <v>-202.02413181060291</v>
      </c>
      <c r="AL17" t="s">
        <v>11</v>
      </c>
      <c r="AO17" s="1"/>
      <c r="AT17" s="21"/>
      <c r="BI17" s="1"/>
    </row>
    <row r="18" spans="1:61" x14ac:dyDescent="0.45">
      <c r="A18" s="32">
        <v>44125</v>
      </c>
      <c r="B18" s="9" t="e" vm="5">
        <v>#VALUE!</v>
      </c>
      <c r="C18" s="9" t="s">
        <v>10</v>
      </c>
      <c r="D18" t="s">
        <v>27</v>
      </c>
      <c r="E18">
        <f>Ledger[[#This Row],[Transaction amount]]/Ledger[[#This Row],[Price]]</f>
        <v>0.81976812273099897</v>
      </c>
      <c r="F18" s="34">
        <v>426.95</v>
      </c>
      <c r="G18" s="9">
        <v>350</v>
      </c>
      <c r="H18" s="9" t="s">
        <v>11</v>
      </c>
      <c r="K18" s="1"/>
      <c r="P18" s="21"/>
      <c r="U18" s="1"/>
      <c r="Z18" s="21"/>
      <c r="AE18" s="32">
        <v>44530</v>
      </c>
      <c r="AF18" s="32" t="e" vm="5">
        <v>#VALUE!</v>
      </c>
      <c r="AG18" s="9" t="s">
        <v>24</v>
      </c>
      <c r="AH18" t="s">
        <v>29</v>
      </c>
      <c r="AI18">
        <v>-0.28986026928237602</v>
      </c>
      <c r="AJ18" s="34">
        <v>1127.03</v>
      </c>
      <c r="AK18" s="9">
        <v>-326.68121928931623</v>
      </c>
      <c r="AL18" s="9" t="s">
        <v>11</v>
      </c>
      <c r="AO18" s="1"/>
      <c r="AT18" s="21"/>
      <c r="BI18" s="1"/>
    </row>
    <row r="19" spans="1:61" x14ac:dyDescent="0.45">
      <c r="A19" s="1">
        <v>44152</v>
      </c>
      <c r="B19" t="e" vm="5">
        <v>#VALUE!</v>
      </c>
      <c r="C19" t="s">
        <v>10</v>
      </c>
      <c r="D19" t="s">
        <v>28</v>
      </c>
      <c r="E19">
        <f>Ledger[[#This Row],[Transaction amount]]/Ledger[[#This Row],[Price]]</f>
        <v>0.50590219224283306</v>
      </c>
      <c r="F19" s="21">
        <v>444.75</v>
      </c>
      <c r="G19">
        <v>225</v>
      </c>
      <c r="H19" t="s">
        <v>11</v>
      </c>
      <c r="K19" s="32"/>
      <c r="L19" s="9"/>
      <c r="M19" s="9"/>
      <c r="P19" s="34"/>
      <c r="Q19" s="9"/>
      <c r="R19" s="9"/>
      <c r="U19" s="32"/>
      <c r="V19" s="9"/>
      <c r="W19" s="9"/>
      <c r="Z19" s="34"/>
      <c r="AA19" s="9"/>
      <c r="AB19" s="9"/>
      <c r="AE19" s="32"/>
      <c r="AF19" s="9"/>
      <c r="AG19" s="9"/>
      <c r="AJ19" s="34"/>
      <c r="AK19" s="9"/>
      <c r="AL19" s="9"/>
      <c r="AO19" s="32"/>
      <c r="AP19" s="9"/>
      <c r="AQ19" s="9"/>
      <c r="AT19" s="34"/>
      <c r="AU19" s="9"/>
      <c r="AV19" s="9"/>
      <c r="BI19" s="1"/>
    </row>
    <row r="20" spans="1:61" x14ac:dyDescent="0.45">
      <c r="A20" s="1">
        <v>44152</v>
      </c>
      <c r="B20" t="e" vm="5">
        <v>#VALUE!</v>
      </c>
      <c r="C20" t="s">
        <v>10</v>
      </c>
      <c r="D20" t="s">
        <v>27</v>
      </c>
      <c r="E20">
        <f>Ledger[[#This Row],[Transaction amount]]/Ledger[[#This Row],[Price]]</f>
        <v>0.89938167509836986</v>
      </c>
      <c r="F20" s="21">
        <v>444.75</v>
      </c>
      <c r="G20">
        <v>400</v>
      </c>
      <c r="H20" t="s">
        <v>11</v>
      </c>
      <c r="K20" s="32"/>
      <c r="L20" s="9"/>
      <c r="M20" s="9"/>
      <c r="P20" s="34"/>
      <c r="Q20" s="9"/>
      <c r="R20" s="9"/>
      <c r="U20" s="32"/>
      <c r="V20" s="9"/>
      <c r="W20" s="9"/>
      <c r="Z20" s="34"/>
      <c r="AA20" s="9"/>
      <c r="AB20" s="9"/>
      <c r="AE20" s="32"/>
      <c r="AF20" s="9"/>
      <c r="AG20" s="9"/>
      <c r="AJ20" s="34"/>
      <c r="AK20" s="9"/>
      <c r="AL20" s="9"/>
      <c r="AO20" s="32"/>
      <c r="AP20" s="9"/>
      <c r="AQ20" s="9"/>
      <c r="AT20" s="34"/>
      <c r="AU20" s="9"/>
      <c r="AV20" s="9"/>
      <c r="BI20" s="1"/>
    </row>
    <row r="21" spans="1:61" x14ac:dyDescent="0.45">
      <c r="A21" s="1">
        <v>44152</v>
      </c>
      <c r="B21" t="e" vm="5">
        <v>#VALUE!</v>
      </c>
      <c r="C21" t="s">
        <v>10</v>
      </c>
      <c r="D21" t="s">
        <v>28</v>
      </c>
      <c r="E21">
        <f>Ledger[[#This Row],[Transaction amount]]/Ledger[[#This Row],[Price]]</f>
        <v>1.0342889263631254</v>
      </c>
      <c r="F21" s="21">
        <v>444.75</v>
      </c>
      <c r="G21">
        <v>460</v>
      </c>
      <c r="H21" t="s">
        <v>11</v>
      </c>
      <c r="K21" s="23"/>
      <c r="L21" s="25"/>
      <c r="M21" s="25"/>
      <c r="N21" s="25"/>
      <c r="P21" s="27"/>
      <c r="Q21" s="25"/>
      <c r="R21" s="25"/>
      <c r="U21" s="23"/>
      <c r="V21" s="25"/>
      <c r="W21" s="25"/>
      <c r="X21" s="25"/>
      <c r="Z21" s="27"/>
      <c r="AA21" s="25"/>
      <c r="AB21" s="25"/>
      <c r="AE21" s="23"/>
      <c r="AF21" s="25"/>
      <c r="AG21" s="25"/>
      <c r="AH21" s="25"/>
      <c r="AJ21" s="27"/>
      <c r="AK21" s="25"/>
      <c r="AL21" s="25"/>
      <c r="AO21" s="23"/>
      <c r="AP21" s="25"/>
      <c r="AQ21" s="25"/>
      <c r="AR21" s="25"/>
      <c r="AT21" s="27"/>
      <c r="AU21" s="25"/>
      <c r="AV21" s="25"/>
      <c r="BI21" s="1"/>
    </row>
    <row r="22" spans="1:61" x14ac:dyDescent="0.45">
      <c r="A22" s="1">
        <v>44152</v>
      </c>
      <c r="B22" t="e" vm="5">
        <v>#VALUE!</v>
      </c>
      <c r="C22" t="s">
        <v>10</v>
      </c>
      <c r="D22" t="s">
        <v>30</v>
      </c>
      <c r="E22">
        <f>Ledger[[#This Row],[Transaction amount]]/Ledger[[#This Row],[Price]]</f>
        <v>2.6912467200430599</v>
      </c>
      <c r="F22" s="21">
        <v>445.89</v>
      </c>
      <c r="G22">
        <v>1200</v>
      </c>
      <c r="H22" t="s">
        <v>11</v>
      </c>
      <c r="K22" s="1"/>
      <c r="N22" s="25"/>
      <c r="P22" s="21"/>
      <c r="U22" s="1"/>
      <c r="X22" s="25"/>
      <c r="Z22" s="21"/>
      <c r="AE22" s="1"/>
      <c r="AH22" s="25"/>
      <c r="AJ22" s="21"/>
      <c r="AO22" s="1"/>
      <c r="AR22" s="25"/>
      <c r="AT22" s="21"/>
      <c r="BI22" s="1"/>
    </row>
    <row r="23" spans="1:61" x14ac:dyDescent="0.45">
      <c r="A23" s="1">
        <v>44152</v>
      </c>
      <c r="B23" t="e" vm="5">
        <v>#VALUE!</v>
      </c>
      <c r="C23" t="s">
        <v>10</v>
      </c>
      <c r="D23" t="s">
        <v>28</v>
      </c>
      <c r="E23">
        <f>Ledger[[#This Row],[Transaction amount]]/Ledger[[#This Row],[Price]]</f>
        <v>0.76714801444043323</v>
      </c>
      <c r="F23" s="21">
        <v>443.2</v>
      </c>
      <c r="G23">
        <v>340</v>
      </c>
      <c r="H23" t="s">
        <v>11</v>
      </c>
      <c r="K23" s="1"/>
      <c r="N23" s="25"/>
      <c r="P23" s="21"/>
      <c r="U23" s="1"/>
      <c r="X23" s="25"/>
      <c r="Z23" s="21"/>
      <c r="AE23" s="1"/>
      <c r="AH23" s="25"/>
      <c r="AJ23" s="21"/>
      <c r="AO23" s="1"/>
      <c r="AR23" s="25"/>
      <c r="AT23" s="21"/>
      <c r="BI23" s="1"/>
    </row>
    <row r="24" spans="1:61" x14ac:dyDescent="0.45">
      <c r="A24" s="1">
        <v>44152</v>
      </c>
      <c r="B24" t="e" vm="5">
        <v>#VALUE!</v>
      </c>
      <c r="C24" t="s">
        <v>10</v>
      </c>
      <c r="D24" t="s">
        <v>27</v>
      </c>
      <c r="E24">
        <f>Ledger[[#This Row],[Transaction amount]]/Ledger[[#This Row],[Price]]</f>
        <v>1.5847860538827259</v>
      </c>
      <c r="F24" s="21">
        <v>441.7</v>
      </c>
      <c r="G24">
        <v>700</v>
      </c>
      <c r="H24" t="s">
        <v>11</v>
      </c>
      <c r="K24" s="1"/>
      <c r="N24" s="25"/>
      <c r="P24" s="21"/>
      <c r="U24" s="1"/>
      <c r="X24" s="25"/>
      <c r="Z24" s="21"/>
      <c r="AE24" s="1"/>
      <c r="AH24" s="25"/>
      <c r="AJ24" s="21"/>
      <c r="AO24" s="1"/>
      <c r="AR24" s="25"/>
      <c r="AT24" s="21"/>
      <c r="BI24" s="1"/>
    </row>
    <row r="25" spans="1:61" x14ac:dyDescent="0.45">
      <c r="A25" s="1">
        <v>44160</v>
      </c>
      <c r="B25" t="e" vm="3">
        <v>#VALUE!</v>
      </c>
      <c r="C25" t="s">
        <v>10</v>
      </c>
      <c r="D25" s="25" t="s">
        <v>27</v>
      </c>
      <c r="E25">
        <f>Ledger[[#This Row],[Transaction amount]]/Ledger[[#This Row],[Price]]</f>
        <v>9.2592592592592595</v>
      </c>
      <c r="F25" s="21">
        <f>1080/20</f>
        <v>54</v>
      </c>
      <c r="G25">
        <v>500</v>
      </c>
      <c r="H25" t="s">
        <v>11</v>
      </c>
      <c r="K25" s="1"/>
      <c r="N25" s="25"/>
      <c r="P25" s="21"/>
      <c r="U25" s="1"/>
      <c r="X25" s="25"/>
      <c r="Z25" s="21"/>
      <c r="AE25" s="1"/>
      <c r="AH25" s="25"/>
      <c r="AJ25" s="21"/>
      <c r="AO25" s="1"/>
      <c r="AR25" s="25"/>
      <c r="AT25" s="21"/>
      <c r="BI25" s="1"/>
    </row>
    <row r="26" spans="1:61" x14ac:dyDescent="0.45">
      <c r="A26" s="1">
        <v>44160</v>
      </c>
      <c r="B26" t="e" vm="3">
        <v>#VALUE!</v>
      </c>
      <c r="C26" t="s">
        <v>10</v>
      </c>
      <c r="D26" s="25" t="s">
        <v>29</v>
      </c>
      <c r="E26">
        <f>Ledger[[#This Row],[Transaction amount]]/Ledger[[#This Row],[Price]]</f>
        <v>6.4814814814814818</v>
      </c>
      <c r="F26" s="21">
        <f>1080/20</f>
        <v>54</v>
      </c>
      <c r="G26">
        <v>350</v>
      </c>
      <c r="H26" t="s">
        <v>11</v>
      </c>
      <c r="K26" s="1"/>
      <c r="N26" s="25"/>
      <c r="P26" s="21"/>
      <c r="U26" s="1"/>
      <c r="X26" s="25"/>
      <c r="Z26" s="21"/>
      <c r="AE26" s="1"/>
      <c r="AH26" s="25"/>
      <c r="AJ26" s="21"/>
      <c r="AO26" s="1"/>
      <c r="AR26" s="25"/>
      <c r="AT26" s="21"/>
      <c r="BI26" s="1"/>
    </row>
    <row r="27" spans="1:61" x14ac:dyDescent="0.45">
      <c r="A27" s="1">
        <v>44160</v>
      </c>
      <c r="B27" t="e" vm="3">
        <v>#VALUE!</v>
      </c>
      <c r="C27" t="s">
        <v>10</v>
      </c>
      <c r="D27" s="25" t="s">
        <v>28</v>
      </c>
      <c r="E27">
        <f>Ledger[[#This Row],[Transaction amount]]/Ledger[[#This Row],[Price]]</f>
        <v>1.847489723338414</v>
      </c>
      <c r="F27" s="21">
        <f>1082.55/20</f>
        <v>54.127499999999998</v>
      </c>
      <c r="G27">
        <v>100</v>
      </c>
      <c r="H27" t="s">
        <v>11</v>
      </c>
      <c r="K27" s="1"/>
      <c r="P27" s="21"/>
      <c r="U27" s="1"/>
      <c r="Z27" s="21"/>
      <c r="AE27" s="1"/>
      <c r="AJ27" s="21"/>
      <c r="AO27" s="1"/>
      <c r="AT27" s="21"/>
      <c r="AY27" s="1"/>
      <c r="BD27" s="21"/>
      <c r="BI27" s="1"/>
    </row>
    <row r="28" spans="1:61" x14ac:dyDescent="0.45">
      <c r="A28" s="1">
        <v>44161</v>
      </c>
      <c r="B28" t="e" vm="3">
        <v>#VALUE!</v>
      </c>
      <c r="C28" t="s">
        <v>10</v>
      </c>
      <c r="D28" s="25" t="s">
        <v>30</v>
      </c>
      <c r="E28">
        <f>Ledger[[#This Row],[Transaction amount]]/Ledger[[#This Row],[Price]]</f>
        <v>9.1566706345572761</v>
      </c>
      <c r="F28" s="21">
        <f>1092.1/20</f>
        <v>54.604999999999997</v>
      </c>
      <c r="G28">
        <v>500</v>
      </c>
      <c r="H28" t="s">
        <v>11</v>
      </c>
      <c r="K28" s="1"/>
      <c r="P28" s="21"/>
      <c r="U28" s="1"/>
      <c r="Z28" s="21"/>
      <c r="AE28" s="1"/>
      <c r="AJ28" s="21"/>
      <c r="AO28" s="1"/>
      <c r="AT28" s="21"/>
      <c r="AY28" s="1"/>
      <c r="BD28" s="21"/>
      <c r="BI28" s="1"/>
    </row>
    <row r="29" spans="1:61" x14ac:dyDescent="0.45">
      <c r="A29" s="1">
        <v>44162</v>
      </c>
      <c r="B29" t="e" vm="3">
        <v>#VALUE!</v>
      </c>
      <c r="C29" t="s">
        <v>10</v>
      </c>
      <c r="D29" s="25" t="s">
        <v>27</v>
      </c>
      <c r="E29">
        <f>Ledger[[#This Row],[Transaction amount]]/Ledger[[#This Row],[Price]]</f>
        <v>4.5852209159437303</v>
      </c>
      <c r="F29" s="21">
        <f>1090.46/20</f>
        <v>54.523000000000003</v>
      </c>
      <c r="G29">
        <v>250</v>
      </c>
      <c r="H29" t="s">
        <v>11</v>
      </c>
      <c r="K29" s="1"/>
      <c r="P29" s="21"/>
      <c r="U29" s="1"/>
      <c r="Z29" s="21"/>
      <c r="AE29" s="1"/>
      <c r="AJ29" s="21"/>
      <c r="AO29" s="1"/>
      <c r="AT29" s="21"/>
      <c r="AY29" s="1"/>
      <c r="BD29" s="21"/>
      <c r="BI29" s="1"/>
    </row>
    <row r="30" spans="1:61" x14ac:dyDescent="0.45">
      <c r="A30" s="1">
        <v>44235</v>
      </c>
      <c r="B30" t="e" vm="5">
        <v>#VALUE!</v>
      </c>
      <c r="C30" t="s">
        <v>10</v>
      </c>
      <c r="D30" t="s">
        <v>29</v>
      </c>
      <c r="E30">
        <f>Ledger[[#This Row],[Transaction amount]]/Ledger[[#This Row],[Price]]</f>
        <v>0.28986026928237635</v>
      </c>
      <c r="F30" s="21">
        <v>864.52</v>
      </c>
      <c r="G30">
        <v>250.59</v>
      </c>
      <c r="H30" t="s">
        <v>11</v>
      </c>
      <c r="K30" s="1"/>
      <c r="P30" s="21"/>
      <c r="U30" s="1"/>
      <c r="Z30" s="21"/>
      <c r="AE30" s="1"/>
      <c r="AJ30" s="21"/>
      <c r="AO30" s="1"/>
      <c r="AT30" s="21"/>
      <c r="AY30" s="1"/>
      <c r="BD30" s="21"/>
      <c r="BI30" s="1"/>
    </row>
    <row r="31" spans="1:61" x14ac:dyDescent="0.45">
      <c r="A31" s="1">
        <v>44235</v>
      </c>
      <c r="B31" t="e" vm="5">
        <v>#VALUE!</v>
      </c>
      <c r="C31" t="s">
        <v>10</v>
      </c>
      <c r="D31" t="s">
        <v>30</v>
      </c>
      <c r="E31">
        <f>Ledger[[#This Row],[Transaction amount]]/Ledger[[#This Row],[Price]]</f>
        <v>0.69402674316383661</v>
      </c>
      <c r="F31" s="21">
        <v>864.52</v>
      </c>
      <c r="G31">
        <v>600</v>
      </c>
      <c r="H31" t="s">
        <v>11</v>
      </c>
      <c r="K31" s="1"/>
      <c r="P31" s="21"/>
      <c r="U31" s="1"/>
      <c r="Z31" s="21"/>
      <c r="AE31" s="1"/>
      <c r="AJ31" s="21"/>
      <c r="AO31" s="1"/>
      <c r="AT31" s="21"/>
      <c r="AY31" s="1"/>
      <c r="BD31" s="21"/>
      <c r="BI31" s="1"/>
    </row>
    <row r="32" spans="1:61" x14ac:dyDescent="0.45">
      <c r="A32" s="32">
        <v>44238</v>
      </c>
      <c r="B32" s="9" t="e" vm="5">
        <v>#VALUE!</v>
      </c>
      <c r="C32" s="9" t="s">
        <v>10</v>
      </c>
      <c r="D32" t="s">
        <v>28</v>
      </c>
      <c r="E32">
        <f>Ledger[[#This Row],[Transaction amount]]/Ledger[[#This Row],[Price]]</f>
        <v>0.79697883714657047</v>
      </c>
      <c r="F32" s="34">
        <v>815.58</v>
      </c>
      <c r="G32" s="9">
        <v>650</v>
      </c>
      <c r="H32" s="9" t="s">
        <v>11</v>
      </c>
      <c r="K32" s="1"/>
      <c r="P32" s="21"/>
      <c r="U32" s="1"/>
      <c r="Z32" s="21"/>
      <c r="AE32" s="1"/>
      <c r="AJ32" s="21"/>
      <c r="AO32" s="1"/>
      <c r="AT32" s="21"/>
      <c r="AY32" s="1"/>
      <c r="BD32" s="21"/>
      <c r="BI32" s="1"/>
    </row>
    <row r="33" spans="1:61" x14ac:dyDescent="0.45">
      <c r="A33" s="32">
        <v>44238</v>
      </c>
      <c r="B33" s="9" t="e" vm="5">
        <v>#VALUE!</v>
      </c>
      <c r="C33" s="9" t="s">
        <v>10</v>
      </c>
      <c r="D33" t="s">
        <v>28</v>
      </c>
      <c r="E33">
        <f>Ledger[[#This Row],[Transaction amount]]/Ledger[[#This Row],[Price]]</f>
        <v>0.79697883714657047</v>
      </c>
      <c r="F33" s="34">
        <v>815.58</v>
      </c>
      <c r="G33" s="9">
        <v>650</v>
      </c>
      <c r="H33" s="9" t="s">
        <v>11</v>
      </c>
      <c r="K33" s="1"/>
      <c r="P33" s="21"/>
      <c r="U33" s="1"/>
      <c r="Z33" s="21"/>
      <c r="AE33" s="1"/>
      <c r="AJ33" s="21"/>
      <c r="AO33" s="1"/>
      <c r="AT33" s="21"/>
      <c r="AY33" s="1"/>
      <c r="BD33" s="21"/>
      <c r="BI33" s="1"/>
    </row>
    <row r="34" spans="1:61" x14ac:dyDescent="0.45">
      <c r="A34" s="1">
        <v>44250</v>
      </c>
      <c r="B34" t="e" vm="5">
        <v>#VALUE!</v>
      </c>
      <c r="C34" t="s">
        <v>10</v>
      </c>
      <c r="D34" t="s">
        <v>29</v>
      </c>
      <c r="E34">
        <f>Ledger[[#This Row],[Transaction amount]]/Ledger[[#This Row],[Price]]</f>
        <v>0.19315460094259446</v>
      </c>
      <c r="F34" s="21">
        <v>647.15</v>
      </c>
      <c r="G34">
        <v>125</v>
      </c>
      <c r="H34" t="s">
        <v>11</v>
      </c>
      <c r="K34" s="1"/>
      <c r="P34" s="21"/>
      <c r="U34" s="1"/>
      <c r="Z34" s="21"/>
      <c r="AE34" s="1"/>
      <c r="AJ34" s="21"/>
      <c r="AO34" s="1"/>
      <c r="AT34" s="21"/>
      <c r="AY34" s="1"/>
      <c r="BD34" s="21"/>
      <c r="BI34" s="1"/>
    </row>
    <row r="35" spans="1:61" x14ac:dyDescent="0.45">
      <c r="A35" s="32">
        <v>44250</v>
      </c>
      <c r="B35" s="9" t="e" vm="5">
        <v>#VALUE!</v>
      </c>
      <c r="C35" s="9" t="s">
        <v>10</v>
      </c>
      <c r="D35" t="s">
        <v>29</v>
      </c>
      <c r="E35">
        <f>Ledger[[#This Row],[Transaction amount]]/Ledger[[#This Row],[Price]]</f>
        <v>0.19554470934234403</v>
      </c>
      <c r="F35" s="34">
        <v>639.24</v>
      </c>
      <c r="G35" s="9">
        <v>125</v>
      </c>
      <c r="H35" s="9" t="s">
        <v>11</v>
      </c>
      <c r="K35" s="22"/>
      <c r="L35" s="33"/>
      <c r="M35" s="24"/>
      <c r="O35" s="24"/>
      <c r="P35" s="26"/>
      <c r="Q35" s="24"/>
      <c r="R35" s="28"/>
      <c r="U35" s="22"/>
      <c r="V35" s="33"/>
      <c r="W35" s="24"/>
      <c r="Y35" s="24"/>
      <c r="Z35" s="26"/>
      <c r="AA35" s="24"/>
      <c r="AB35" s="28"/>
      <c r="AE35" s="22"/>
      <c r="AF35" s="33"/>
      <c r="AG35" s="24"/>
      <c r="AI35" s="24"/>
      <c r="AJ35" s="26"/>
      <c r="AK35" s="24"/>
      <c r="AL35" s="28"/>
      <c r="AO35" s="22"/>
      <c r="AP35" s="33"/>
      <c r="AQ35" s="24"/>
      <c r="AS35" s="24"/>
      <c r="AT35" s="26"/>
      <c r="AU35" s="24"/>
      <c r="AV35" s="28"/>
      <c r="AY35" s="22"/>
      <c r="AZ35" s="33"/>
      <c r="BA35" s="24"/>
      <c r="BC35" s="24"/>
      <c r="BD35" s="26"/>
      <c r="BE35" s="24"/>
      <c r="BF35" s="28"/>
      <c r="BI35" s="1"/>
    </row>
    <row r="36" spans="1:61" x14ac:dyDescent="0.45">
      <c r="A36" s="1">
        <v>44250</v>
      </c>
      <c r="B36" t="e" vm="5">
        <v>#VALUE!</v>
      </c>
      <c r="C36" t="s">
        <v>10</v>
      </c>
      <c r="D36" t="s">
        <v>29</v>
      </c>
      <c r="E36">
        <f>Ledger[[#This Row],[Transaction amount]]/Ledger[[#This Row],[Price]]</f>
        <v>0.19315460094259446</v>
      </c>
      <c r="F36" s="21">
        <v>647.15</v>
      </c>
      <c r="G36">
        <v>125</v>
      </c>
      <c r="H36" t="s">
        <v>11</v>
      </c>
      <c r="K36" s="1"/>
      <c r="L36" s="33"/>
      <c r="P36" s="21"/>
      <c r="U36" s="1"/>
      <c r="V36" s="33"/>
      <c r="Z36" s="21"/>
      <c r="AE36" s="1"/>
      <c r="AF36" s="33"/>
      <c r="AJ36" s="21"/>
      <c r="AO36" s="1"/>
      <c r="AP36" s="33"/>
      <c r="AT36" s="21"/>
      <c r="AY36" s="1"/>
      <c r="AZ36" s="33"/>
      <c r="BD36" s="21"/>
      <c r="BI36" s="1"/>
    </row>
    <row r="37" spans="1:61" x14ac:dyDescent="0.45">
      <c r="A37" s="32">
        <v>44250</v>
      </c>
      <c r="B37" s="9" t="e" vm="5">
        <v>#VALUE!</v>
      </c>
      <c r="C37" s="9" t="s">
        <v>10</v>
      </c>
      <c r="D37" t="s">
        <v>29</v>
      </c>
      <c r="E37">
        <f>Ledger[[#This Row],[Transaction amount]]/Ledger[[#This Row],[Price]]</f>
        <v>0.39108941868468805</v>
      </c>
      <c r="F37" s="34">
        <v>639.24</v>
      </c>
      <c r="G37" s="9">
        <v>250</v>
      </c>
      <c r="H37" s="9" t="s">
        <v>11</v>
      </c>
      <c r="P37" s="21"/>
      <c r="Z37" s="21"/>
      <c r="AJ37" s="21"/>
      <c r="AT37" s="21"/>
      <c r="BD37" s="21"/>
      <c r="BI37" s="1"/>
    </row>
    <row r="38" spans="1:61" x14ac:dyDescent="0.45">
      <c r="A38" s="1">
        <v>44293</v>
      </c>
      <c r="B38" t="e" vm="3">
        <v>#VALUE!</v>
      </c>
      <c r="C38" t="s">
        <v>10</v>
      </c>
      <c r="D38" t="s">
        <v>29</v>
      </c>
      <c r="E38">
        <f>Ledger[[#This Row],[Transaction amount]]/Ledger[[#This Row],[Price]]</f>
        <v>2.8063885764108001</v>
      </c>
      <c r="F38" s="21">
        <f>3280.23/20</f>
        <v>164.01150000000001</v>
      </c>
      <c r="G38">
        <v>460.28</v>
      </c>
      <c r="H38" t="s">
        <v>11</v>
      </c>
      <c r="P38" s="21"/>
      <c r="Z38" s="21"/>
      <c r="AJ38" s="21"/>
      <c r="AT38" s="21"/>
      <c r="BD38" s="21"/>
      <c r="BI38" s="1"/>
    </row>
    <row r="39" spans="1:61" x14ac:dyDescent="0.45">
      <c r="A39" s="22">
        <v>44335</v>
      </c>
      <c r="B39" s="24" t="e" vm="5">
        <v>#VALUE!</v>
      </c>
      <c r="C39" s="24" t="s">
        <v>10</v>
      </c>
      <c r="D39" t="s">
        <v>29</v>
      </c>
      <c r="E39">
        <f>Ledger[[#This Row],[Transaction amount]]/Ledger[[#This Row],[Price]]</f>
        <v>0.17928536852107499</v>
      </c>
      <c r="F39" s="26">
        <v>557.77</v>
      </c>
      <c r="G39" s="24">
        <v>100</v>
      </c>
      <c r="H39" s="28" t="s">
        <v>11</v>
      </c>
      <c r="P39" s="21"/>
      <c r="Z39" s="21"/>
      <c r="AJ39" s="21"/>
      <c r="AT39" s="21"/>
      <c r="BD39" s="21"/>
      <c r="BI39" s="1"/>
    </row>
    <row r="40" spans="1:61" x14ac:dyDescent="0.45">
      <c r="A40" s="32">
        <v>44403</v>
      </c>
      <c r="B40" s="9" t="e" vm="2">
        <v>#VALUE!</v>
      </c>
      <c r="C40" s="9" t="s">
        <v>10</v>
      </c>
      <c r="D40" t="s">
        <v>29</v>
      </c>
      <c r="E40">
        <f>Ledger[[#This Row],[Transaction amount]]/Ledger[[#This Row],[Price]]</f>
        <v>5.5473372781065088E-2</v>
      </c>
      <c r="F40" s="34">
        <v>2704</v>
      </c>
      <c r="G40" s="9">
        <v>150</v>
      </c>
      <c r="H40" s="9" t="s">
        <v>11</v>
      </c>
      <c r="P40" s="21"/>
      <c r="Z40" s="21"/>
      <c r="AJ40" s="21"/>
      <c r="AT40" s="21"/>
      <c r="BD40" s="21"/>
      <c r="BI40" s="1"/>
    </row>
    <row r="41" spans="1:61" x14ac:dyDescent="0.45">
      <c r="A41" s="32">
        <v>44403</v>
      </c>
      <c r="B41" s="9" t="e" vm="2">
        <v>#VALUE!</v>
      </c>
      <c r="C41" s="9" t="s">
        <v>10</v>
      </c>
      <c r="D41" t="s">
        <v>30</v>
      </c>
      <c r="E41">
        <f>Ledger[[#This Row],[Transaction amount]]/Ledger[[#This Row],[Price]]</f>
        <v>0.17011834319526628</v>
      </c>
      <c r="F41" s="34">
        <v>2704</v>
      </c>
      <c r="G41" s="9">
        <v>460</v>
      </c>
      <c r="H41" s="9" t="s">
        <v>11</v>
      </c>
      <c r="P41" s="21"/>
      <c r="Z41" s="21"/>
      <c r="AJ41" s="21"/>
      <c r="AT41" s="21"/>
      <c r="BD41" s="21"/>
      <c r="BI41" s="1"/>
    </row>
    <row r="42" spans="1:61" x14ac:dyDescent="0.45">
      <c r="A42" s="23">
        <v>44405</v>
      </c>
      <c r="B42" s="25" t="e" vm="5">
        <v>#VALUE!</v>
      </c>
      <c r="C42" s="25" t="s">
        <v>24</v>
      </c>
      <c r="D42" s="25" t="s">
        <v>27</v>
      </c>
      <c r="E42">
        <f>Ledger[[#This Row],[Transaction amount]]/Ledger[[#This Row],[Price]]</f>
        <v>-0.40370942812982996</v>
      </c>
      <c r="F42" s="27">
        <v>647</v>
      </c>
      <c r="G42" s="25">
        <v>-261.2</v>
      </c>
      <c r="H42" s="25" t="s">
        <v>11</v>
      </c>
      <c r="P42" s="21"/>
      <c r="Z42" s="21"/>
      <c r="AJ42" s="21"/>
      <c r="AT42" s="21"/>
      <c r="BD42" s="21"/>
      <c r="BI42" s="1"/>
    </row>
    <row r="43" spans="1:61" x14ac:dyDescent="0.45">
      <c r="A43" s="32">
        <v>44516</v>
      </c>
      <c r="B43" s="9" t="e" vm="5">
        <v>#VALUE!</v>
      </c>
      <c r="C43" s="9" t="s">
        <v>24</v>
      </c>
      <c r="D43" s="25" t="s">
        <v>27</v>
      </c>
      <c r="E43">
        <f>Ledger[[#This Row],[Transaction amount]]/Ledger[[#This Row],[Price]]</f>
        <v>9.9652213773928994E-2</v>
      </c>
      <c r="F43" s="34">
        <v>1003.49</v>
      </c>
      <c r="G43" s="9">
        <v>100</v>
      </c>
      <c r="H43" s="9" t="s">
        <v>11</v>
      </c>
      <c r="P43" s="21"/>
      <c r="Z43" s="21"/>
      <c r="AJ43" s="21"/>
      <c r="AT43" s="21"/>
      <c r="BD43" s="21"/>
      <c r="BI43" s="1"/>
    </row>
    <row r="44" spans="1:61" x14ac:dyDescent="0.45">
      <c r="A44" s="1">
        <v>44516</v>
      </c>
      <c r="B44" t="e" vm="5">
        <v>#VALUE!</v>
      </c>
      <c r="C44" t="s">
        <v>24</v>
      </c>
      <c r="D44" s="25" t="s">
        <v>27</v>
      </c>
      <c r="E44">
        <f>Ledger[[#This Row],[Transaction amount]]/Ledger[[#This Row],[Price]]</f>
        <v>0.14947832066089348</v>
      </c>
      <c r="F44" s="21">
        <v>1003.49</v>
      </c>
      <c r="G44">
        <v>150</v>
      </c>
      <c r="H44" t="s">
        <v>11</v>
      </c>
      <c r="P44" s="21"/>
      <c r="Z44" s="21"/>
      <c r="AJ44" s="21"/>
      <c r="AT44" s="21"/>
      <c r="BD44" s="21"/>
      <c r="BI44" s="1"/>
    </row>
    <row r="45" spans="1:61" x14ac:dyDescent="0.45">
      <c r="A45" s="1">
        <v>44530</v>
      </c>
      <c r="B45" t="e" vm="5">
        <v>#VALUE!</v>
      </c>
      <c r="C45" t="s">
        <v>24</v>
      </c>
      <c r="D45" t="s">
        <v>28</v>
      </c>
      <c r="E45">
        <v>-1.2792631444288101</v>
      </c>
      <c r="F45" s="21">
        <v>1126.1099999999999</v>
      </c>
      <c r="G45">
        <f>Ledger[[#This Row],[Units]]*Ledger[[#This Row],[Price]]</f>
        <v>-1440.5910195727272</v>
      </c>
      <c r="H45" t="s">
        <v>11</v>
      </c>
      <c r="P45" s="21"/>
      <c r="Z45" s="21"/>
      <c r="AJ45" s="21"/>
      <c r="AT45" s="21"/>
      <c r="BD45" s="21"/>
      <c r="BI45" s="1"/>
    </row>
    <row r="46" spans="1:61" x14ac:dyDescent="0.45">
      <c r="A46" s="1">
        <v>44530</v>
      </c>
      <c r="B46" t="e" vm="5">
        <v>#VALUE!</v>
      </c>
      <c r="C46" t="s">
        <v>24</v>
      </c>
      <c r="D46" t="s">
        <v>28</v>
      </c>
      <c r="E46">
        <v>-0.644103525002928</v>
      </c>
      <c r="F46" s="21">
        <v>1126.1099999999999</v>
      </c>
      <c r="G46">
        <f>Ledger[[#This Row],[Units]]*Ledger[[#This Row],[Price]]</f>
        <v>-725.33142054104724</v>
      </c>
      <c r="H46" t="s">
        <v>11</v>
      </c>
      <c r="P46" s="21"/>
      <c r="Z46" s="21"/>
      <c r="AJ46" s="21"/>
      <c r="AT46" s="21"/>
      <c r="BD46" s="21"/>
      <c r="BI46" s="1"/>
    </row>
    <row r="47" spans="1:61" x14ac:dyDescent="0.45">
      <c r="A47" s="1">
        <v>44530</v>
      </c>
      <c r="B47" t="e" vm="3">
        <v>#VALUE!</v>
      </c>
      <c r="C47" t="s">
        <v>24</v>
      </c>
      <c r="D47" t="s">
        <v>29</v>
      </c>
      <c r="E47">
        <v>-0.14031942882053999</v>
      </c>
      <c r="F47" s="21">
        <v>179.6</v>
      </c>
      <c r="G47">
        <f>Ledger[[#This Row],[Price]]*Ledger[[#This Row],[Units]]</f>
        <v>-25.201369416168983</v>
      </c>
      <c r="H47" t="s">
        <v>11</v>
      </c>
      <c r="P47" s="21"/>
      <c r="Z47" s="21"/>
      <c r="AJ47" s="21"/>
      <c r="AT47" s="21"/>
      <c r="BD47" s="21"/>
      <c r="BI47" s="1"/>
    </row>
    <row r="48" spans="1:61" x14ac:dyDescent="0.45">
      <c r="A48" s="1">
        <v>44530</v>
      </c>
      <c r="B48" t="e" vm="5">
        <v>#VALUE!</v>
      </c>
      <c r="C48" t="s">
        <v>24</v>
      </c>
      <c r="D48" t="s">
        <v>29</v>
      </c>
      <c r="E48">
        <v>-0.17928536852107499</v>
      </c>
      <c r="F48" s="21">
        <v>1126.83</v>
      </c>
      <c r="G48">
        <f>Ledger[[#This Row],[Price]]*Ledger[[#This Row],[Units]]</f>
        <v>-202.02413181060291</v>
      </c>
      <c r="H48" t="s">
        <v>11</v>
      </c>
      <c r="P48" s="21"/>
      <c r="Z48" s="21"/>
      <c r="AJ48" s="21"/>
      <c r="AT48" s="21"/>
      <c r="BD48" s="21"/>
      <c r="BI48" s="1"/>
    </row>
    <row r="49" spans="1:61" x14ac:dyDescent="0.45">
      <c r="A49" s="32">
        <v>44530</v>
      </c>
      <c r="B49" s="32" t="e" vm="5">
        <v>#VALUE!</v>
      </c>
      <c r="C49" s="9" t="s">
        <v>24</v>
      </c>
      <c r="D49" t="s">
        <v>29</v>
      </c>
      <c r="E49">
        <v>-0.28986026928237602</v>
      </c>
      <c r="F49" s="34">
        <v>1127.03</v>
      </c>
      <c r="G49" s="9">
        <f>Ledger[[#This Row],[Price]]*Ledger[[#This Row],[Units]]</f>
        <v>-326.68121928931623</v>
      </c>
      <c r="H49" s="9" t="s">
        <v>11</v>
      </c>
      <c r="P49" s="21"/>
      <c r="Z49" s="21"/>
      <c r="AJ49" s="21"/>
      <c r="AT49" s="21"/>
      <c r="BD49" s="21"/>
      <c r="BI49" s="1"/>
    </row>
    <row r="50" spans="1:61" x14ac:dyDescent="0.45">
      <c r="E50" t="e">
        <f>Ledger[[#This Row],[Transaction amount]]/Ledger[[#This Row],[Price]]</f>
        <v>#DIV/0!</v>
      </c>
      <c r="F50" s="21"/>
      <c r="P50" s="21"/>
      <c r="Z50" s="21"/>
      <c r="AJ50" s="21"/>
      <c r="AT50" s="21"/>
      <c r="BD50" s="21"/>
      <c r="BI50" s="1"/>
    </row>
    <row r="51" spans="1:61" x14ac:dyDescent="0.45">
      <c r="E51" t="e">
        <f>Ledger[[#This Row],[Transaction amount]]/Ledger[[#This Row],[Price]]</f>
        <v>#DIV/0!</v>
      </c>
      <c r="F51" s="21"/>
      <c r="P51" s="21"/>
      <c r="Z51" s="21"/>
      <c r="AJ51" s="21"/>
      <c r="AT51" s="21"/>
      <c r="BD51" s="21"/>
      <c r="BI51" s="1"/>
    </row>
    <row r="52" spans="1:61" x14ac:dyDescent="0.45">
      <c r="E52" t="e">
        <f>Ledger[[#This Row],[Transaction amount]]/Ledger[[#This Row],[Price]]</f>
        <v>#DIV/0!</v>
      </c>
      <c r="F52" s="21"/>
      <c r="P52" s="21"/>
      <c r="Z52" s="21"/>
      <c r="AJ52" s="21"/>
      <c r="AT52" s="21"/>
      <c r="BD52" s="21"/>
      <c r="BI52" s="1"/>
    </row>
    <row r="53" spans="1:61" x14ac:dyDescent="0.45">
      <c r="E53" t="e">
        <f>Ledger[[#This Row],[Transaction amount]]/Ledger[[#This Row],[Price]]</f>
        <v>#DIV/0!</v>
      </c>
      <c r="F53" s="21"/>
      <c r="P53" s="21"/>
      <c r="Z53" s="21"/>
      <c r="AJ53" s="21"/>
      <c r="AT53" s="21"/>
      <c r="BD53" s="21"/>
      <c r="BI53" s="1"/>
    </row>
    <row r="54" spans="1:61" x14ac:dyDescent="0.45">
      <c r="E54" t="e">
        <f>Ledger[[#This Row],[Transaction amount]]/Ledger[[#This Row],[Price]]</f>
        <v>#DIV/0!</v>
      </c>
      <c r="F54" s="21"/>
      <c r="P54" s="21"/>
      <c r="Z54" s="21"/>
      <c r="AJ54" s="21"/>
      <c r="AT54" s="21"/>
      <c r="BD54" s="21"/>
      <c r="BI54" s="1"/>
    </row>
    <row r="55" spans="1:61" x14ac:dyDescent="0.45">
      <c r="E55" t="e">
        <f>Ledger[[#This Row],[Transaction amount]]/Ledger[[#This Row],[Price]]</f>
        <v>#DIV/0!</v>
      </c>
      <c r="F55" s="21"/>
      <c r="P55" s="21"/>
      <c r="Z55" s="21"/>
      <c r="AJ55" s="21"/>
      <c r="AT55" s="21"/>
      <c r="BD55" s="21"/>
      <c r="BI55" s="1"/>
    </row>
    <row r="56" spans="1:61" x14ac:dyDescent="0.45">
      <c r="E56" t="e">
        <f>Ledger[[#This Row],[Transaction amount]]/Ledger[[#This Row],[Price]]</f>
        <v>#DIV/0!</v>
      </c>
      <c r="F56" s="21"/>
      <c r="P56" s="21"/>
      <c r="Z56" s="21"/>
      <c r="AJ56" s="21"/>
      <c r="AT56" s="21"/>
      <c r="BD56" s="21"/>
      <c r="BI56" s="1"/>
    </row>
    <row r="57" spans="1:61" x14ac:dyDescent="0.45">
      <c r="E57" t="e">
        <f>Ledger[[#This Row],[Transaction amount]]/Ledger[[#This Row],[Price]]</f>
        <v>#DIV/0!</v>
      </c>
      <c r="F57" s="21"/>
      <c r="P57" s="21"/>
      <c r="Z57" s="21"/>
      <c r="AJ57" s="21"/>
      <c r="AT57" s="21"/>
      <c r="BD57" s="21"/>
      <c r="BI57" s="1"/>
    </row>
    <row r="58" spans="1:61" x14ac:dyDescent="0.45">
      <c r="E58" t="e">
        <f>Ledger[[#This Row],[Transaction amount]]/Ledger[[#This Row],[Price]]</f>
        <v>#DIV/0!</v>
      </c>
      <c r="F58" s="21"/>
      <c r="P58" s="21"/>
      <c r="Z58" s="21"/>
      <c r="AJ58" s="21"/>
      <c r="AT58" s="21"/>
      <c r="BD58" s="21"/>
      <c r="BI58" s="1"/>
    </row>
    <row r="59" spans="1:61" x14ac:dyDescent="0.45">
      <c r="E59" t="e">
        <f>Ledger[[#This Row],[Transaction amount]]/Ledger[[#This Row],[Price]]</f>
        <v>#DIV/0!</v>
      </c>
      <c r="F59" s="21"/>
      <c r="P59" s="21"/>
      <c r="Z59" s="21"/>
      <c r="AJ59" s="21"/>
      <c r="AT59" s="21"/>
      <c r="BD59" s="21"/>
      <c r="BI59" s="1"/>
    </row>
    <row r="60" spans="1:61" x14ac:dyDescent="0.45">
      <c r="E60" t="e">
        <f>Ledger[[#This Row],[Transaction amount]]/Ledger[[#This Row],[Price]]</f>
        <v>#DIV/0!</v>
      </c>
      <c r="F60" s="21"/>
      <c r="P60" s="21"/>
      <c r="Z60" s="21"/>
      <c r="AJ60" s="21"/>
      <c r="AT60" s="21"/>
      <c r="BD60" s="21"/>
      <c r="BI60" s="1"/>
    </row>
    <row r="61" spans="1:61" x14ac:dyDescent="0.45">
      <c r="E61" t="e">
        <f>Ledger[[#This Row],[Transaction amount]]/Ledger[[#This Row],[Price]]</f>
        <v>#DIV/0!</v>
      </c>
      <c r="F61" s="21"/>
      <c r="P61" s="21"/>
      <c r="Z61" s="21"/>
      <c r="AJ61" s="21"/>
      <c r="AT61" s="21"/>
      <c r="BD61" s="21"/>
      <c r="BI61" s="1"/>
    </row>
    <row r="62" spans="1:61" x14ac:dyDescent="0.45">
      <c r="E62" t="e">
        <f>Ledger[[#This Row],[Transaction amount]]/Ledger[[#This Row],[Price]]</f>
        <v>#DIV/0!</v>
      </c>
      <c r="F62" s="21"/>
      <c r="P62" s="21"/>
      <c r="Z62" s="21"/>
      <c r="AJ62" s="21"/>
      <c r="AT62" s="21"/>
      <c r="BD62" s="21"/>
      <c r="BI62" s="1"/>
    </row>
    <row r="63" spans="1:61" x14ac:dyDescent="0.45">
      <c r="E63" t="e">
        <f>Ledger[[#This Row],[Transaction amount]]/Ledger[[#This Row],[Price]]</f>
        <v>#DIV/0!</v>
      </c>
      <c r="F63" s="21"/>
      <c r="P63" s="21"/>
      <c r="Z63" s="21"/>
      <c r="AJ63" s="21"/>
      <c r="AT63" s="21"/>
      <c r="BD63" s="21"/>
      <c r="BI63" s="1"/>
    </row>
    <row r="64" spans="1:61" x14ac:dyDescent="0.45">
      <c r="E64" t="e">
        <f>Ledger[[#This Row],[Transaction amount]]/Ledger[[#This Row],[Price]]</f>
        <v>#DIV/0!</v>
      </c>
      <c r="F64" s="21"/>
      <c r="P64" s="21"/>
      <c r="Z64" s="21"/>
      <c r="AJ64" s="21"/>
      <c r="AT64" s="21"/>
      <c r="BD64" s="21"/>
      <c r="BI64" s="1"/>
    </row>
    <row r="65" spans="5:61" x14ac:dyDescent="0.45">
      <c r="E65" t="e">
        <f>Ledger[[#This Row],[Transaction amount]]/Ledger[[#This Row],[Price]]</f>
        <v>#DIV/0!</v>
      </c>
      <c r="F65" s="21"/>
      <c r="P65" s="21"/>
      <c r="Z65" s="21"/>
      <c r="AJ65" s="21"/>
      <c r="AT65" s="21"/>
      <c r="BD65" s="21"/>
      <c r="BI65" s="1"/>
    </row>
    <row r="66" spans="5:61" x14ac:dyDescent="0.45">
      <c r="E66" t="e">
        <f>Ledger[[#This Row],[Transaction amount]]/Ledger[[#This Row],[Price]]</f>
        <v>#DIV/0!</v>
      </c>
      <c r="F66" s="21"/>
      <c r="P66" s="21"/>
      <c r="Z66" s="21"/>
      <c r="AJ66" s="21"/>
      <c r="AT66" s="21"/>
      <c r="BD66" s="21"/>
      <c r="BI66" s="1"/>
    </row>
    <row r="67" spans="5:61" x14ac:dyDescent="0.45">
      <c r="E67" t="e">
        <f>Ledger[[#This Row],[Transaction amount]]/Ledger[[#This Row],[Price]]</f>
        <v>#DIV/0!</v>
      </c>
      <c r="F67" s="21"/>
      <c r="P67" s="21"/>
      <c r="Z67" s="21"/>
      <c r="AJ67" s="21"/>
      <c r="AT67" s="21"/>
      <c r="BD67" s="21"/>
      <c r="BI67" s="1"/>
    </row>
    <row r="68" spans="5:61" x14ac:dyDescent="0.45">
      <c r="E68" t="e">
        <f>Ledger[[#This Row],[Transaction amount]]/Ledger[[#This Row],[Price]]</f>
        <v>#DIV/0!</v>
      </c>
      <c r="F68" s="21"/>
      <c r="P68" s="21"/>
      <c r="Z68" s="21"/>
      <c r="AJ68" s="21"/>
      <c r="AT68" s="21"/>
      <c r="BD68" s="21"/>
      <c r="BI68" s="1"/>
    </row>
    <row r="69" spans="5:61" x14ac:dyDescent="0.45">
      <c r="E69" t="e">
        <f>Ledger[[#This Row],[Transaction amount]]/Ledger[[#This Row],[Price]]</f>
        <v>#DIV/0!</v>
      </c>
      <c r="F69" s="21"/>
      <c r="P69" s="21"/>
      <c r="Z69" s="21"/>
      <c r="AJ69" s="21"/>
      <c r="AT69" s="21"/>
      <c r="BD69" s="21"/>
      <c r="BI69" s="1"/>
    </row>
    <row r="70" spans="5:61" x14ac:dyDescent="0.45">
      <c r="E70" t="e">
        <f>Ledger[[#This Row],[Transaction amount]]/Ledger[[#This Row],[Price]]</f>
        <v>#DIV/0!</v>
      </c>
      <c r="F70" s="21"/>
      <c r="P70" s="21"/>
      <c r="Z70" s="21"/>
      <c r="AJ70" s="21"/>
      <c r="AT70" s="21"/>
      <c r="BD70" s="21"/>
      <c r="BI70" s="1"/>
    </row>
    <row r="71" spans="5:61" x14ac:dyDescent="0.45">
      <c r="E71" t="e">
        <f>Ledger[[#This Row],[Transaction amount]]/Ledger[[#This Row],[Price]]</f>
        <v>#DIV/0!</v>
      </c>
      <c r="F71" s="21"/>
      <c r="P71" s="21"/>
      <c r="Z71" s="21"/>
      <c r="AJ71" s="21"/>
      <c r="AT71" s="21"/>
      <c r="BD71" s="21"/>
      <c r="BI71" s="1"/>
    </row>
    <row r="72" spans="5:61" x14ac:dyDescent="0.45">
      <c r="E72" t="e">
        <f>Ledger[[#This Row],[Transaction amount]]/Ledger[[#This Row],[Price]]</f>
        <v>#DIV/0!</v>
      </c>
      <c r="F72" s="21"/>
      <c r="P72" s="21"/>
      <c r="Z72" s="21"/>
      <c r="AJ72" s="21"/>
      <c r="AT72" s="21"/>
      <c r="BD72" s="21"/>
      <c r="BI72" s="1"/>
    </row>
    <row r="73" spans="5:61" x14ac:dyDescent="0.45">
      <c r="E73" t="e">
        <f>Ledger[[#This Row],[Transaction amount]]/Ledger[[#This Row],[Price]]</f>
        <v>#DIV/0!</v>
      </c>
      <c r="F73" s="21"/>
      <c r="P73" s="21"/>
      <c r="Z73" s="21"/>
      <c r="AJ73" s="21"/>
      <c r="AT73" s="21"/>
      <c r="BD73" s="21"/>
      <c r="BI73" s="1"/>
    </row>
    <row r="74" spans="5:61" x14ac:dyDescent="0.45">
      <c r="E74" t="e">
        <f>Ledger[[#This Row],[Transaction amount]]/Ledger[[#This Row],[Price]]</f>
        <v>#DIV/0!</v>
      </c>
      <c r="F74" s="21"/>
      <c r="P74" s="21"/>
      <c r="Z74" s="21"/>
      <c r="AJ74" s="21"/>
      <c r="AT74" s="21"/>
      <c r="BD74" s="21"/>
      <c r="BI74" s="1"/>
    </row>
    <row r="75" spans="5:61" x14ac:dyDescent="0.45">
      <c r="E75" t="e">
        <f>Ledger[[#This Row],[Transaction amount]]/Ledger[[#This Row],[Price]]</f>
        <v>#DIV/0!</v>
      </c>
      <c r="F75" s="21"/>
      <c r="P75" s="21"/>
      <c r="Z75" s="21"/>
      <c r="AJ75" s="21"/>
      <c r="AT75" s="21"/>
      <c r="BD75" s="21"/>
      <c r="BI75" s="1"/>
    </row>
    <row r="76" spans="5:61" x14ac:dyDescent="0.45">
      <c r="E76" t="e">
        <f>Ledger[[#This Row],[Transaction amount]]/Ledger[[#This Row],[Price]]</f>
        <v>#DIV/0!</v>
      </c>
      <c r="F76" s="21"/>
      <c r="P76" s="21"/>
      <c r="Z76" s="21"/>
      <c r="AJ76" s="21"/>
      <c r="AT76" s="21"/>
      <c r="BD76" s="21"/>
      <c r="BI76" s="1"/>
    </row>
    <row r="77" spans="5:61" x14ac:dyDescent="0.45">
      <c r="E77" t="e">
        <f>Ledger[[#This Row],[Transaction amount]]/Ledger[[#This Row],[Price]]</f>
        <v>#DIV/0!</v>
      </c>
      <c r="F77" s="21"/>
      <c r="P77" s="21"/>
      <c r="Z77" s="21"/>
      <c r="AJ77" s="21"/>
      <c r="AT77" s="21"/>
      <c r="BD77" s="21"/>
      <c r="BI77" s="1"/>
    </row>
    <row r="78" spans="5:61" x14ac:dyDescent="0.45">
      <c r="E78" t="e">
        <f>Ledger[[#This Row],[Transaction amount]]/Ledger[[#This Row],[Price]]</f>
        <v>#DIV/0!</v>
      </c>
      <c r="F78" s="21"/>
      <c r="P78" s="21"/>
      <c r="Z78" s="21"/>
      <c r="AJ78" s="21"/>
      <c r="AT78" s="21"/>
      <c r="BD78" s="21"/>
      <c r="BI78" s="1"/>
    </row>
    <row r="79" spans="5:61" x14ac:dyDescent="0.45">
      <c r="E79" t="e">
        <f>Ledger[[#This Row],[Transaction amount]]/Ledger[[#This Row],[Price]]</f>
        <v>#DIV/0!</v>
      </c>
      <c r="F79" s="21"/>
      <c r="P79" s="21"/>
      <c r="Z79" s="21"/>
      <c r="AJ79" s="21"/>
      <c r="AT79" s="21"/>
      <c r="BD79" s="21"/>
      <c r="BI79" s="1"/>
    </row>
    <row r="80" spans="5:61" x14ac:dyDescent="0.45">
      <c r="E80" t="e">
        <f>Ledger[[#This Row],[Transaction amount]]/Ledger[[#This Row],[Price]]</f>
        <v>#DIV/0!</v>
      </c>
      <c r="F80" s="21"/>
      <c r="P80" s="21"/>
      <c r="Z80" s="21"/>
      <c r="AJ80" s="21"/>
      <c r="AT80" s="21"/>
      <c r="BD80" s="21"/>
      <c r="BI80" s="1"/>
    </row>
    <row r="81" spans="5:61" x14ac:dyDescent="0.45">
      <c r="E81" t="e">
        <f>Ledger[[#This Row],[Transaction amount]]/Ledger[[#This Row],[Price]]</f>
        <v>#DIV/0!</v>
      </c>
      <c r="F81" s="21"/>
      <c r="P81" s="21"/>
      <c r="Z81" s="21"/>
      <c r="AJ81" s="21"/>
      <c r="AT81" s="21"/>
      <c r="BD81" s="21"/>
      <c r="BI81" s="1"/>
    </row>
    <row r="82" spans="5:61" x14ac:dyDescent="0.45">
      <c r="E82" t="e">
        <f>Ledger[[#This Row],[Transaction amount]]/Ledger[[#This Row],[Price]]</f>
        <v>#DIV/0!</v>
      </c>
      <c r="F82" s="21"/>
      <c r="P82" s="21"/>
      <c r="Z82" s="21"/>
      <c r="AJ82" s="21"/>
      <c r="AT82" s="21"/>
      <c r="BD82" s="21"/>
      <c r="BI82" s="1"/>
    </row>
    <row r="83" spans="5:61" x14ac:dyDescent="0.45">
      <c r="E83" t="e">
        <f>Ledger[[#This Row],[Transaction amount]]/Ledger[[#This Row],[Price]]</f>
        <v>#DIV/0!</v>
      </c>
      <c r="F83" s="21"/>
      <c r="P83" s="21"/>
      <c r="Z83" s="21"/>
      <c r="AJ83" s="21"/>
      <c r="AT83" s="21"/>
      <c r="BD83" s="21"/>
      <c r="BI83" s="1"/>
    </row>
    <row r="84" spans="5:61" x14ac:dyDescent="0.45">
      <c r="E84" t="e">
        <f>Ledger[[#This Row],[Transaction amount]]/Ledger[[#This Row],[Price]]</f>
        <v>#DIV/0!</v>
      </c>
      <c r="F84" s="21"/>
      <c r="P84" s="21"/>
      <c r="Z84" s="21"/>
      <c r="AJ84" s="21"/>
      <c r="AT84" s="21"/>
      <c r="BD84" s="21"/>
      <c r="BI84" s="1"/>
    </row>
    <row r="85" spans="5:61" x14ac:dyDescent="0.45">
      <c r="E85" t="e">
        <f>Ledger[[#This Row],[Transaction amount]]/Ledger[[#This Row],[Price]]</f>
        <v>#DIV/0!</v>
      </c>
      <c r="F85" s="21"/>
      <c r="P85" s="21"/>
      <c r="Z85" s="21"/>
      <c r="AJ85" s="21"/>
      <c r="AT85" s="21"/>
      <c r="BD85" s="21"/>
      <c r="BI85" s="1"/>
    </row>
    <row r="86" spans="5:61" x14ac:dyDescent="0.45">
      <c r="E86" t="e">
        <f>Ledger[[#This Row],[Transaction amount]]/Ledger[[#This Row],[Price]]</f>
        <v>#DIV/0!</v>
      </c>
      <c r="F86" s="21"/>
      <c r="P86" s="21"/>
      <c r="Z86" s="21"/>
      <c r="AJ86" s="21"/>
      <c r="AT86" s="21"/>
      <c r="BD86" s="21"/>
      <c r="BI86" s="1"/>
    </row>
    <row r="87" spans="5:61" x14ac:dyDescent="0.45">
      <c r="E87" t="e">
        <f>Ledger[[#This Row],[Transaction amount]]/Ledger[[#This Row],[Price]]</f>
        <v>#DIV/0!</v>
      </c>
      <c r="F87" s="21"/>
      <c r="P87" s="21"/>
      <c r="Z87" s="21"/>
      <c r="AJ87" s="21"/>
      <c r="AT87" s="21"/>
      <c r="BD87" s="21"/>
      <c r="BI87" s="1"/>
    </row>
    <row r="88" spans="5:61" x14ac:dyDescent="0.45">
      <c r="E88" t="e">
        <f>Ledger[[#This Row],[Transaction amount]]/Ledger[[#This Row],[Price]]</f>
        <v>#DIV/0!</v>
      </c>
      <c r="F88" s="21"/>
      <c r="P88" s="21"/>
      <c r="Z88" s="21"/>
      <c r="AJ88" s="21"/>
      <c r="AT88" s="21"/>
      <c r="BD88" s="21"/>
      <c r="BI88" s="1"/>
    </row>
    <row r="89" spans="5:61" x14ac:dyDescent="0.45">
      <c r="E89" t="e">
        <f>Ledger[[#This Row],[Transaction amount]]/Ledger[[#This Row],[Price]]</f>
        <v>#DIV/0!</v>
      </c>
      <c r="F89" s="21"/>
      <c r="P89" s="21"/>
      <c r="Z89" s="21"/>
      <c r="AJ89" s="21"/>
      <c r="AT89" s="21"/>
      <c r="BD89" s="21"/>
      <c r="BI89" s="1"/>
    </row>
    <row r="90" spans="5:61" x14ac:dyDescent="0.45">
      <c r="E90" t="e">
        <f>Ledger[[#This Row],[Transaction amount]]/Ledger[[#This Row],[Price]]</f>
        <v>#DIV/0!</v>
      </c>
      <c r="F90" s="21"/>
      <c r="P90" s="21"/>
      <c r="Z90" s="21"/>
      <c r="AJ90" s="21"/>
      <c r="AT90" s="21"/>
      <c r="BD90" s="21"/>
      <c r="BI90" s="1"/>
    </row>
    <row r="91" spans="5:61" x14ac:dyDescent="0.45">
      <c r="E91" t="e">
        <f>Ledger[[#This Row],[Transaction amount]]/Ledger[[#This Row],[Price]]</f>
        <v>#DIV/0!</v>
      </c>
      <c r="F91" s="21"/>
      <c r="P91" s="21"/>
      <c r="Z91" s="21"/>
      <c r="AJ91" s="21"/>
      <c r="AT91" s="21"/>
      <c r="BD91" s="21"/>
      <c r="BI91" s="1"/>
    </row>
    <row r="92" spans="5:61" x14ac:dyDescent="0.45">
      <c r="E92" t="e">
        <f>Ledger[[#This Row],[Transaction amount]]/Ledger[[#This Row],[Price]]</f>
        <v>#DIV/0!</v>
      </c>
      <c r="F92" s="21"/>
      <c r="P92" s="21"/>
      <c r="Z92" s="21"/>
      <c r="AJ92" s="21"/>
      <c r="AT92" s="21"/>
      <c r="BD92" s="21"/>
      <c r="BI92" s="1"/>
    </row>
    <row r="93" spans="5:61" x14ac:dyDescent="0.45">
      <c r="E93" t="e">
        <f>Ledger[[#This Row],[Transaction amount]]/Ledger[[#This Row],[Price]]</f>
        <v>#DIV/0!</v>
      </c>
      <c r="F93" s="21"/>
      <c r="P93" s="21"/>
      <c r="Z93" s="21"/>
      <c r="AJ93" s="21"/>
      <c r="AT93" s="21"/>
      <c r="BD93" s="21"/>
      <c r="BI93" s="1"/>
    </row>
    <row r="94" spans="5:61" x14ac:dyDescent="0.45">
      <c r="E94" t="e">
        <f>Ledger[[#This Row],[Transaction amount]]/Ledger[[#This Row],[Price]]</f>
        <v>#DIV/0!</v>
      </c>
      <c r="F94" s="21"/>
      <c r="P94" s="21"/>
      <c r="Z94" s="21"/>
      <c r="AJ94" s="21"/>
      <c r="AT94" s="21"/>
      <c r="BD94" s="21"/>
      <c r="BI94" s="1"/>
    </row>
    <row r="95" spans="5:61" x14ac:dyDescent="0.45">
      <c r="E95" t="e">
        <f>Ledger[[#This Row],[Transaction amount]]/Ledger[[#This Row],[Price]]</f>
        <v>#DIV/0!</v>
      </c>
      <c r="F95" s="21"/>
      <c r="P95" s="21"/>
      <c r="Z95" s="21"/>
      <c r="AJ95" s="21"/>
      <c r="AT95" s="21"/>
      <c r="BD95" s="21"/>
      <c r="BI95" s="1"/>
    </row>
    <row r="96" spans="5:61" x14ac:dyDescent="0.45">
      <c r="E96" t="e">
        <f>Ledger[[#This Row],[Transaction amount]]/Ledger[[#This Row],[Price]]</f>
        <v>#DIV/0!</v>
      </c>
      <c r="F96" s="21"/>
      <c r="P96" s="21"/>
      <c r="Z96" s="21"/>
      <c r="AJ96" s="21"/>
      <c r="AT96" s="21"/>
      <c r="BD96" s="21"/>
      <c r="BI96" s="1"/>
    </row>
    <row r="97" spans="5:61" x14ac:dyDescent="0.45">
      <c r="E97" t="e">
        <f>Ledger[[#This Row],[Transaction amount]]/Ledger[[#This Row],[Price]]</f>
        <v>#DIV/0!</v>
      </c>
      <c r="F97" s="21"/>
      <c r="P97" s="21"/>
      <c r="Z97" s="21"/>
      <c r="AJ97" s="21"/>
      <c r="AT97" s="21"/>
      <c r="BD97" s="21"/>
      <c r="BI97" s="1"/>
    </row>
    <row r="98" spans="5:61" x14ac:dyDescent="0.45">
      <c r="E98" t="e">
        <f>Ledger[[#This Row],[Transaction amount]]/Ledger[[#This Row],[Price]]</f>
        <v>#DIV/0!</v>
      </c>
      <c r="F98" s="21"/>
      <c r="P98" s="21"/>
      <c r="Z98" s="21"/>
      <c r="AJ98" s="21"/>
      <c r="AT98" s="21"/>
      <c r="BD98" s="21"/>
      <c r="BI98" s="1"/>
    </row>
    <row r="99" spans="5:61" x14ac:dyDescent="0.45">
      <c r="E99" t="e">
        <f>Ledger[[#This Row],[Transaction amount]]/Ledger[[#This Row],[Price]]</f>
        <v>#DIV/0!</v>
      </c>
      <c r="F99" s="21"/>
      <c r="P99" s="21"/>
      <c r="Z99" s="21"/>
      <c r="AJ99" s="21"/>
      <c r="AT99" s="21"/>
      <c r="BD99" s="21"/>
      <c r="BI99" s="1"/>
    </row>
    <row r="100" spans="5:61" x14ac:dyDescent="0.45">
      <c r="E100" t="e">
        <f>Ledger[[#This Row],[Transaction amount]]/Ledger[[#This Row],[Price]]</f>
        <v>#DIV/0!</v>
      </c>
      <c r="F100" s="21"/>
      <c r="P100" s="21"/>
      <c r="Z100" s="21"/>
      <c r="AJ100" s="21"/>
      <c r="AT100" s="21"/>
      <c r="BD100" s="21"/>
      <c r="BI100" s="1"/>
    </row>
    <row r="101" spans="5:61" x14ac:dyDescent="0.45">
      <c r="E101" t="e">
        <f>Ledger[[#This Row],[Transaction amount]]/Ledger[[#This Row],[Price]]</f>
        <v>#DIV/0!</v>
      </c>
      <c r="F101" s="21"/>
      <c r="P101" s="21"/>
      <c r="Z101" s="21"/>
      <c r="AJ101" s="21"/>
      <c r="AT101" s="21"/>
      <c r="BD101" s="21"/>
      <c r="BI101" s="1"/>
    </row>
    <row r="102" spans="5:61" x14ac:dyDescent="0.45">
      <c r="E102" t="e">
        <f>Ledger[[#This Row],[Transaction amount]]/Ledger[[#This Row],[Price]]</f>
        <v>#DIV/0!</v>
      </c>
      <c r="F102" s="21"/>
      <c r="P102" s="21"/>
      <c r="Z102" s="21"/>
      <c r="AJ102" s="21"/>
      <c r="AT102" s="21"/>
      <c r="BD102" s="21"/>
      <c r="BI102" s="1"/>
    </row>
    <row r="103" spans="5:61" x14ac:dyDescent="0.45">
      <c r="E103" t="e">
        <f>Ledger[[#This Row],[Transaction amount]]/Ledger[[#This Row],[Price]]</f>
        <v>#DIV/0!</v>
      </c>
      <c r="F103" s="21"/>
      <c r="P103" s="21"/>
      <c r="Z103" s="21"/>
      <c r="AJ103" s="21"/>
      <c r="AT103" s="21"/>
      <c r="BD103" s="21"/>
      <c r="BI103" s="1"/>
    </row>
    <row r="104" spans="5:61" x14ac:dyDescent="0.45">
      <c r="E104" t="e">
        <f>Ledger[[#This Row],[Transaction amount]]/Ledger[[#This Row],[Price]]</f>
        <v>#DIV/0!</v>
      </c>
      <c r="F104" s="21"/>
      <c r="P104" s="21"/>
      <c r="Z104" s="21"/>
      <c r="AJ104" s="21"/>
      <c r="AT104" s="21"/>
      <c r="BD104" s="21"/>
      <c r="BI104" s="1"/>
    </row>
    <row r="105" spans="5:61" x14ac:dyDescent="0.45">
      <c r="E105" t="e">
        <f>Ledger[[#This Row],[Transaction amount]]/Ledger[[#This Row],[Price]]</f>
        <v>#DIV/0!</v>
      </c>
      <c r="F105" s="21"/>
      <c r="P105" s="21"/>
      <c r="Z105" s="21"/>
      <c r="AJ105" s="21"/>
      <c r="AT105" s="21"/>
      <c r="BD105" s="21"/>
      <c r="BI105" s="1"/>
    </row>
    <row r="106" spans="5:61" x14ac:dyDescent="0.45">
      <c r="E106" t="e">
        <f>Ledger[[#This Row],[Transaction amount]]/Ledger[[#This Row],[Price]]</f>
        <v>#DIV/0!</v>
      </c>
      <c r="F106" s="21"/>
      <c r="P106" s="21"/>
      <c r="Z106" s="21"/>
      <c r="AJ106" s="21"/>
      <c r="AT106" s="21"/>
      <c r="BD106" s="21"/>
      <c r="BI106" s="1"/>
    </row>
    <row r="107" spans="5:61" x14ac:dyDescent="0.45">
      <c r="E107" t="e">
        <f>Ledger[[#This Row],[Transaction amount]]/Ledger[[#This Row],[Price]]</f>
        <v>#DIV/0!</v>
      </c>
      <c r="F107" s="21"/>
      <c r="P107" s="21"/>
      <c r="Z107" s="21"/>
      <c r="AJ107" s="21"/>
      <c r="AT107" s="21"/>
      <c r="BD107" s="21"/>
      <c r="BI107" s="1"/>
    </row>
    <row r="108" spans="5:61" x14ac:dyDescent="0.45">
      <c r="E108" t="e">
        <f>Ledger[[#This Row],[Transaction amount]]/Ledger[[#This Row],[Price]]</f>
        <v>#DIV/0!</v>
      </c>
      <c r="F108" s="21"/>
      <c r="P108" s="21"/>
      <c r="Z108" s="21"/>
      <c r="AJ108" s="21"/>
      <c r="AT108" s="21"/>
      <c r="BD108" s="21"/>
      <c r="BI108" s="1"/>
    </row>
    <row r="109" spans="5:61" x14ac:dyDescent="0.45">
      <c r="E109" t="e">
        <f>Ledger[[#This Row],[Transaction amount]]/Ledger[[#This Row],[Price]]</f>
        <v>#DIV/0!</v>
      </c>
      <c r="F109" s="21"/>
      <c r="P109" s="21"/>
      <c r="Z109" s="21"/>
      <c r="AJ109" s="21"/>
      <c r="AT109" s="21"/>
      <c r="BD109" s="21"/>
      <c r="BI109" s="1"/>
    </row>
    <row r="110" spans="5:61" x14ac:dyDescent="0.45">
      <c r="E110" t="e">
        <f>Ledger[[#This Row],[Transaction amount]]/Ledger[[#This Row],[Price]]</f>
        <v>#DIV/0!</v>
      </c>
      <c r="F110" s="21"/>
      <c r="P110" s="21"/>
      <c r="Z110" s="21"/>
      <c r="AJ110" s="21"/>
      <c r="AT110" s="21"/>
      <c r="BD110" s="21"/>
      <c r="BI110" s="1"/>
    </row>
    <row r="111" spans="5:61" x14ac:dyDescent="0.45">
      <c r="E111" t="e">
        <f>Ledger[[#This Row],[Transaction amount]]/Ledger[[#This Row],[Price]]</f>
        <v>#DIV/0!</v>
      </c>
      <c r="F111" s="21"/>
      <c r="P111" s="21"/>
      <c r="Z111" s="21"/>
      <c r="AJ111" s="21"/>
      <c r="AT111" s="21"/>
      <c r="BD111" s="21"/>
      <c r="BI111" s="1"/>
    </row>
    <row r="112" spans="5:61" x14ac:dyDescent="0.45">
      <c r="E112" t="e">
        <f>Ledger[[#This Row],[Transaction amount]]/Ledger[[#This Row],[Price]]</f>
        <v>#DIV/0!</v>
      </c>
      <c r="F112" s="21"/>
      <c r="P112" s="21"/>
      <c r="Z112" s="21"/>
      <c r="AJ112" s="21"/>
      <c r="AT112" s="21"/>
      <c r="BD112" s="21"/>
      <c r="BI112" s="1"/>
    </row>
    <row r="113" spans="5:61" x14ac:dyDescent="0.45">
      <c r="E113" t="e">
        <f>Ledger[[#This Row],[Transaction amount]]/Ledger[[#This Row],[Price]]</f>
        <v>#DIV/0!</v>
      </c>
      <c r="F113" s="21"/>
      <c r="P113" s="21"/>
      <c r="Z113" s="21"/>
      <c r="AJ113" s="21"/>
      <c r="AT113" s="21"/>
      <c r="BD113" s="21"/>
      <c r="BI113" s="1"/>
    </row>
    <row r="114" spans="5:61" x14ac:dyDescent="0.45">
      <c r="E114" t="e">
        <f>Ledger[[#This Row],[Transaction amount]]/Ledger[[#This Row],[Price]]</f>
        <v>#DIV/0!</v>
      </c>
      <c r="F114" s="21"/>
      <c r="P114" s="21"/>
      <c r="Z114" s="21"/>
      <c r="AJ114" s="21"/>
      <c r="AT114" s="21"/>
      <c r="BD114" s="21"/>
      <c r="BI114" s="1"/>
    </row>
    <row r="115" spans="5:61" x14ac:dyDescent="0.45">
      <c r="E115" t="e">
        <f>Ledger[[#This Row],[Transaction amount]]/Ledger[[#This Row],[Price]]</f>
        <v>#DIV/0!</v>
      </c>
      <c r="F115" s="21"/>
      <c r="P115" s="21"/>
      <c r="Z115" s="21"/>
      <c r="AJ115" s="21"/>
      <c r="AT115" s="21"/>
      <c r="BD115" s="21"/>
      <c r="BI115" s="1"/>
    </row>
    <row r="116" spans="5:61" x14ac:dyDescent="0.45">
      <c r="E116" t="e">
        <f>Ledger[[#This Row],[Transaction amount]]/Ledger[[#This Row],[Price]]</f>
        <v>#DIV/0!</v>
      </c>
      <c r="F116" s="21"/>
      <c r="P116" s="21"/>
      <c r="Z116" s="21"/>
      <c r="AJ116" s="21"/>
      <c r="AT116" s="21"/>
      <c r="BD116" s="21"/>
      <c r="BI116" s="1"/>
    </row>
    <row r="117" spans="5:61" x14ac:dyDescent="0.45">
      <c r="E117" t="e">
        <f>Ledger[[#This Row],[Transaction amount]]/Ledger[[#This Row],[Price]]</f>
        <v>#DIV/0!</v>
      </c>
      <c r="F117" s="21"/>
      <c r="P117" s="21"/>
      <c r="Z117" s="21"/>
      <c r="AJ117" s="21"/>
      <c r="AT117" s="21"/>
      <c r="BD117" s="21"/>
      <c r="BI117" s="1"/>
    </row>
    <row r="118" spans="5:61" x14ac:dyDescent="0.45">
      <c r="E118" t="e">
        <f>Ledger[[#This Row],[Transaction amount]]/Ledger[[#This Row],[Price]]</f>
        <v>#DIV/0!</v>
      </c>
      <c r="F118" s="21"/>
      <c r="P118" s="21"/>
      <c r="Z118" s="21"/>
      <c r="AJ118" s="21"/>
      <c r="AT118" s="21"/>
      <c r="BD118" s="21"/>
      <c r="BI118" s="1"/>
    </row>
    <row r="119" spans="5:61" x14ac:dyDescent="0.45">
      <c r="E119" t="e">
        <f>Ledger[[#This Row],[Transaction amount]]/Ledger[[#This Row],[Price]]</f>
        <v>#DIV/0!</v>
      </c>
      <c r="F119" s="21"/>
      <c r="P119" s="21"/>
      <c r="Z119" s="21"/>
      <c r="AJ119" s="21"/>
      <c r="AT119" s="21"/>
      <c r="BD119" s="21"/>
      <c r="BI119" s="1"/>
    </row>
    <row r="120" spans="5:61" x14ac:dyDescent="0.45">
      <c r="E120" t="e">
        <f>Ledger[[#This Row],[Transaction amount]]/Ledger[[#This Row],[Price]]</f>
        <v>#DIV/0!</v>
      </c>
      <c r="F120" s="21"/>
      <c r="P120" s="21"/>
      <c r="Z120" s="21"/>
      <c r="AJ120" s="21"/>
      <c r="AT120" s="21"/>
      <c r="BD120" s="21"/>
      <c r="BI120" s="1"/>
    </row>
    <row r="121" spans="5:61" x14ac:dyDescent="0.45">
      <c r="E121" t="e">
        <f>Ledger[[#This Row],[Transaction amount]]/Ledger[[#This Row],[Price]]</f>
        <v>#DIV/0!</v>
      </c>
      <c r="F121" s="21"/>
      <c r="P121" s="21"/>
      <c r="Z121" s="21"/>
      <c r="AJ121" s="21"/>
      <c r="AT121" s="21"/>
      <c r="BD121" s="21"/>
      <c r="BI121" s="1"/>
    </row>
    <row r="122" spans="5:61" x14ac:dyDescent="0.45">
      <c r="E122" t="e">
        <f>Ledger[[#This Row],[Transaction amount]]/Ledger[[#This Row],[Price]]</f>
        <v>#DIV/0!</v>
      </c>
      <c r="F122" s="21"/>
      <c r="P122" s="21"/>
      <c r="Z122" s="21"/>
      <c r="AJ122" s="21"/>
      <c r="AT122" s="21"/>
      <c r="BD122" s="21"/>
      <c r="BI122" s="1"/>
    </row>
    <row r="123" spans="5:61" x14ac:dyDescent="0.45">
      <c r="E123" t="e">
        <f>Ledger[[#This Row],[Transaction amount]]/Ledger[[#This Row],[Price]]</f>
        <v>#DIV/0!</v>
      </c>
      <c r="F123" s="21"/>
      <c r="P123" s="21"/>
      <c r="Z123" s="21"/>
      <c r="AJ123" s="21"/>
      <c r="AT123" s="21"/>
      <c r="BD123" s="21"/>
      <c r="BI123" s="1"/>
    </row>
    <row r="124" spans="5:61" x14ac:dyDescent="0.45">
      <c r="E124" t="e">
        <f>Ledger[[#This Row],[Transaction amount]]/Ledger[[#This Row],[Price]]</f>
        <v>#DIV/0!</v>
      </c>
      <c r="F124" s="21"/>
      <c r="P124" s="21"/>
      <c r="Z124" s="21"/>
      <c r="AJ124" s="21"/>
      <c r="AT124" s="21"/>
      <c r="BD124" s="21"/>
      <c r="BI124" s="1"/>
    </row>
    <row r="125" spans="5:61" x14ac:dyDescent="0.45">
      <c r="E125" t="e">
        <f>Ledger[[#This Row],[Transaction amount]]/Ledger[[#This Row],[Price]]</f>
        <v>#DIV/0!</v>
      </c>
      <c r="F125" s="21"/>
      <c r="P125" s="21"/>
      <c r="Z125" s="21"/>
      <c r="AJ125" s="21"/>
      <c r="AT125" s="21"/>
      <c r="BD125" s="21"/>
      <c r="BI125" s="1"/>
    </row>
    <row r="126" spans="5:61" x14ac:dyDescent="0.45">
      <c r="E126" t="e">
        <f>Ledger[[#This Row],[Transaction amount]]/Ledger[[#This Row],[Price]]</f>
        <v>#DIV/0!</v>
      </c>
      <c r="F126" s="21"/>
      <c r="P126" s="21"/>
      <c r="Z126" s="21"/>
      <c r="AJ126" s="21"/>
      <c r="AT126" s="21"/>
      <c r="BD126" s="21"/>
      <c r="BI126" s="1"/>
    </row>
    <row r="127" spans="5:61" x14ac:dyDescent="0.45">
      <c r="E127" t="e">
        <f>Ledger[[#This Row],[Transaction amount]]/Ledger[[#This Row],[Price]]</f>
        <v>#DIV/0!</v>
      </c>
      <c r="F127" s="21"/>
      <c r="P127" s="21"/>
      <c r="Z127" s="21"/>
      <c r="AJ127" s="21"/>
      <c r="AT127" s="21"/>
      <c r="BD127" s="21"/>
      <c r="BI127" s="1"/>
    </row>
    <row r="128" spans="5:61" x14ac:dyDescent="0.45">
      <c r="E128" t="e">
        <f>Ledger[[#This Row],[Transaction amount]]/Ledger[[#This Row],[Price]]</f>
        <v>#DIV/0!</v>
      </c>
      <c r="F128" s="21"/>
      <c r="P128" s="21"/>
      <c r="Z128" s="21"/>
      <c r="AJ128" s="21"/>
      <c r="AT128" s="21"/>
      <c r="BD128" s="21"/>
      <c r="BI128" s="1"/>
    </row>
    <row r="129" spans="5:61" x14ac:dyDescent="0.45">
      <c r="E129" t="e">
        <f>Ledger[[#This Row],[Transaction amount]]/Ledger[[#This Row],[Price]]</f>
        <v>#DIV/0!</v>
      </c>
      <c r="F129" s="21"/>
      <c r="P129" s="21"/>
      <c r="Z129" s="21"/>
      <c r="AJ129" s="21"/>
      <c r="AT129" s="21"/>
      <c r="BD129" s="21"/>
      <c r="BI129" s="1"/>
    </row>
    <row r="130" spans="5:61" x14ac:dyDescent="0.45">
      <c r="E130" t="e">
        <f>Ledger[[#This Row],[Transaction amount]]/Ledger[[#This Row],[Price]]</f>
        <v>#DIV/0!</v>
      </c>
      <c r="F130" s="21"/>
      <c r="P130" s="21"/>
      <c r="Z130" s="21"/>
      <c r="AJ130" s="21"/>
      <c r="AT130" s="21"/>
      <c r="BD130" s="21"/>
      <c r="BI130" s="1"/>
    </row>
    <row r="131" spans="5:61" x14ac:dyDescent="0.45">
      <c r="E131" t="e">
        <f>Ledger[[#This Row],[Transaction amount]]/Ledger[[#This Row],[Price]]</f>
        <v>#DIV/0!</v>
      </c>
      <c r="F131" s="21"/>
      <c r="P131" s="21"/>
      <c r="Z131" s="21"/>
      <c r="AJ131" s="21"/>
      <c r="AT131" s="21"/>
      <c r="BD131" s="21"/>
      <c r="BI131" s="1"/>
    </row>
    <row r="132" spans="5:61" x14ac:dyDescent="0.45">
      <c r="E132" t="e">
        <f>Ledger[[#This Row],[Transaction amount]]/Ledger[[#This Row],[Price]]</f>
        <v>#DIV/0!</v>
      </c>
      <c r="F132" s="21"/>
      <c r="P132" s="21"/>
      <c r="Z132" s="21"/>
      <c r="AJ132" s="21"/>
      <c r="AT132" s="21"/>
      <c r="BD132" s="21"/>
      <c r="BI132" s="1"/>
    </row>
    <row r="133" spans="5:61" x14ac:dyDescent="0.45">
      <c r="E133" t="e">
        <f>Ledger[[#This Row],[Transaction amount]]/Ledger[[#This Row],[Price]]</f>
        <v>#DIV/0!</v>
      </c>
      <c r="F133" s="21"/>
      <c r="P133" s="21"/>
      <c r="Z133" s="21"/>
      <c r="AJ133" s="21"/>
      <c r="AT133" s="21"/>
      <c r="BD133" s="21"/>
      <c r="BI133" s="1"/>
    </row>
    <row r="134" spans="5:61" x14ac:dyDescent="0.45">
      <c r="E134" t="e">
        <f>Ledger[[#This Row],[Transaction amount]]/Ledger[[#This Row],[Price]]</f>
        <v>#DIV/0!</v>
      </c>
      <c r="F134" s="21"/>
      <c r="P134" s="21"/>
      <c r="Z134" s="21"/>
      <c r="AJ134" s="21"/>
      <c r="AT134" s="21"/>
      <c r="BD134" s="21"/>
      <c r="BI134" s="1"/>
    </row>
    <row r="135" spans="5:61" x14ac:dyDescent="0.45">
      <c r="E135" t="e">
        <f>Ledger[[#This Row],[Transaction amount]]/Ledger[[#This Row],[Price]]</f>
        <v>#DIV/0!</v>
      </c>
      <c r="F135" s="21"/>
      <c r="P135" s="21"/>
      <c r="Z135" s="21"/>
      <c r="AJ135" s="21"/>
      <c r="AT135" s="21"/>
      <c r="BD135" s="21"/>
      <c r="BI135" s="1"/>
    </row>
    <row r="136" spans="5:61" x14ac:dyDescent="0.45">
      <c r="E136" t="e">
        <f>Ledger[[#This Row],[Transaction amount]]/Ledger[[#This Row],[Price]]</f>
        <v>#DIV/0!</v>
      </c>
      <c r="F136" s="21"/>
      <c r="P136" s="21"/>
      <c r="Z136" s="21"/>
      <c r="AJ136" s="21"/>
      <c r="AT136" s="21"/>
      <c r="BD136" s="21"/>
      <c r="BI136" s="1"/>
    </row>
    <row r="137" spans="5:61" x14ac:dyDescent="0.45">
      <c r="E137" t="e">
        <f>Ledger[[#This Row],[Transaction amount]]/Ledger[[#This Row],[Price]]</f>
        <v>#DIV/0!</v>
      </c>
      <c r="F137" s="21"/>
      <c r="P137" s="21"/>
      <c r="Z137" s="21"/>
      <c r="AJ137" s="21"/>
      <c r="AT137" s="21"/>
      <c r="BD137" s="21"/>
      <c r="BI137" s="1"/>
    </row>
    <row r="138" spans="5:61" x14ac:dyDescent="0.45">
      <c r="E138" t="e">
        <f>Ledger[[#This Row],[Transaction amount]]/Ledger[[#This Row],[Price]]</f>
        <v>#DIV/0!</v>
      </c>
      <c r="F138" s="21"/>
      <c r="P138" s="21"/>
      <c r="Z138" s="21"/>
      <c r="AJ138" s="21"/>
      <c r="AT138" s="21"/>
      <c r="BD138" s="21"/>
      <c r="BI138" s="1"/>
    </row>
    <row r="139" spans="5:61" x14ac:dyDescent="0.45">
      <c r="E139" t="e">
        <f>Ledger[[#This Row],[Transaction amount]]/Ledger[[#This Row],[Price]]</f>
        <v>#DIV/0!</v>
      </c>
      <c r="F139" s="21"/>
      <c r="P139" s="21"/>
      <c r="Z139" s="21"/>
      <c r="AJ139" s="21"/>
      <c r="AT139" s="21"/>
      <c r="BD139" s="21"/>
      <c r="BI139" s="1"/>
    </row>
    <row r="140" spans="5:61" x14ac:dyDescent="0.45">
      <c r="E140" t="e">
        <f>Ledger[[#This Row],[Transaction amount]]/Ledger[[#This Row],[Price]]</f>
        <v>#DIV/0!</v>
      </c>
      <c r="F140" s="21"/>
      <c r="P140" s="21"/>
      <c r="Z140" s="21"/>
      <c r="AJ140" s="21"/>
      <c r="AT140" s="21"/>
      <c r="BD140" s="21"/>
      <c r="BI140" s="1"/>
    </row>
    <row r="141" spans="5:61" x14ac:dyDescent="0.45">
      <c r="E141" t="e">
        <f>Ledger[[#This Row],[Transaction amount]]/Ledger[[#This Row],[Price]]</f>
        <v>#DIV/0!</v>
      </c>
      <c r="F141" s="21"/>
      <c r="P141" s="21"/>
      <c r="Z141" s="21"/>
      <c r="AJ141" s="21"/>
      <c r="AT141" s="21"/>
      <c r="BD141" s="21"/>
      <c r="BI141" s="1"/>
    </row>
    <row r="142" spans="5:61" x14ac:dyDescent="0.45">
      <c r="E142" t="e">
        <f>Ledger[[#This Row],[Transaction amount]]/Ledger[[#This Row],[Price]]</f>
        <v>#DIV/0!</v>
      </c>
      <c r="F142" s="21"/>
      <c r="P142" s="21"/>
      <c r="Z142" s="21"/>
      <c r="AJ142" s="21"/>
      <c r="AT142" s="21"/>
      <c r="BD142" s="21"/>
      <c r="BI142" s="1"/>
    </row>
    <row r="143" spans="5:61" x14ac:dyDescent="0.45">
      <c r="E143" t="e">
        <f>Ledger[[#This Row],[Transaction amount]]/Ledger[[#This Row],[Price]]</f>
        <v>#DIV/0!</v>
      </c>
      <c r="F143" s="21"/>
      <c r="P143" s="21"/>
      <c r="Z143" s="21"/>
      <c r="AJ143" s="21"/>
      <c r="AT143" s="21"/>
      <c r="BD143" s="21"/>
      <c r="BI143" s="1"/>
    </row>
    <row r="144" spans="5:61" x14ac:dyDescent="0.45">
      <c r="E144" t="e">
        <f>Ledger[[#This Row],[Transaction amount]]/Ledger[[#This Row],[Price]]</f>
        <v>#DIV/0!</v>
      </c>
      <c r="F144" s="21"/>
      <c r="P144" s="21"/>
      <c r="Z144" s="21"/>
      <c r="AJ144" s="21"/>
      <c r="AT144" s="21"/>
      <c r="BD144" s="21"/>
      <c r="BI144" s="1"/>
    </row>
    <row r="145" spans="5:61" x14ac:dyDescent="0.45">
      <c r="E145" t="e">
        <f>Ledger[[#This Row],[Transaction amount]]/Ledger[[#This Row],[Price]]</f>
        <v>#DIV/0!</v>
      </c>
      <c r="F145" s="21"/>
      <c r="P145" s="21"/>
      <c r="Z145" s="21"/>
      <c r="AJ145" s="21"/>
      <c r="AT145" s="21"/>
      <c r="BD145" s="21"/>
      <c r="BI145" s="1"/>
    </row>
    <row r="146" spans="5:61" x14ac:dyDescent="0.45">
      <c r="E146" t="e">
        <f>Ledger[[#This Row],[Transaction amount]]/Ledger[[#This Row],[Price]]</f>
        <v>#DIV/0!</v>
      </c>
      <c r="F146" s="21"/>
      <c r="P146" s="21"/>
      <c r="Z146" s="21"/>
      <c r="AJ146" s="21"/>
      <c r="AT146" s="21"/>
      <c r="BD146" s="21"/>
      <c r="BI146" s="1"/>
    </row>
    <row r="147" spans="5:61" x14ac:dyDescent="0.45">
      <c r="E147" t="e">
        <f>Ledger[[#This Row],[Transaction amount]]/Ledger[[#This Row],[Price]]</f>
        <v>#DIV/0!</v>
      </c>
      <c r="F147" s="21"/>
      <c r="P147" s="21"/>
      <c r="Z147" s="21"/>
      <c r="AJ147" s="21"/>
      <c r="AT147" s="21"/>
      <c r="BD147" s="21"/>
      <c r="BI147" s="1"/>
    </row>
    <row r="148" spans="5:61" x14ac:dyDescent="0.45">
      <c r="E148" t="e">
        <f>Ledger[[#This Row],[Transaction amount]]/Ledger[[#This Row],[Price]]</f>
        <v>#DIV/0!</v>
      </c>
      <c r="F148" s="21"/>
      <c r="P148" s="21"/>
      <c r="Z148" s="21"/>
      <c r="AJ148" s="21"/>
      <c r="AT148" s="21"/>
      <c r="BD148" s="21"/>
      <c r="BI148" s="1"/>
    </row>
    <row r="149" spans="5:61" x14ac:dyDescent="0.45">
      <c r="E149" t="e">
        <f>Ledger[[#This Row],[Transaction amount]]/Ledger[[#This Row],[Price]]</f>
        <v>#DIV/0!</v>
      </c>
      <c r="F149" s="21"/>
      <c r="P149" s="21"/>
      <c r="Z149" s="21"/>
      <c r="AJ149" s="21"/>
      <c r="AT149" s="21"/>
      <c r="BD149" s="21"/>
      <c r="BI149" s="1"/>
    </row>
    <row r="150" spans="5:61" x14ac:dyDescent="0.45">
      <c r="E150" t="e">
        <f>Ledger[[#This Row],[Transaction amount]]/Ledger[[#This Row],[Price]]</f>
        <v>#DIV/0!</v>
      </c>
      <c r="F150" s="21"/>
      <c r="P150" s="21"/>
      <c r="Z150" s="21"/>
      <c r="AJ150" s="21"/>
      <c r="AT150" s="21"/>
      <c r="BD150" s="21"/>
      <c r="BI150" s="1"/>
    </row>
    <row r="151" spans="5:61" x14ac:dyDescent="0.45">
      <c r="E151" t="e">
        <f>Ledger[[#This Row],[Transaction amount]]/Ledger[[#This Row],[Price]]</f>
        <v>#DIV/0!</v>
      </c>
      <c r="F151" s="21"/>
      <c r="P151" s="21"/>
      <c r="Z151" s="21"/>
      <c r="AJ151" s="21"/>
      <c r="AT151" s="21"/>
      <c r="BD151" s="21"/>
    </row>
    <row r="152" spans="5:61" x14ac:dyDescent="0.45">
      <c r="E152" t="e">
        <f>Ledger[[#This Row],[Transaction amount]]/Ledger[[#This Row],[Price]]</f>
        <v>#DIV/0!</v>
      </c>
      <c r="F152" s="21"/>
      <c r="P152" s="21"/>
      <c r="Z152" s="21"/>
      <c r="AJ152" s="21"/>
      <c r="AT152" s="21"/>
      <c r="BD152" s="21"/>
    </row>
    <row r="153" spans="5:61" x14ac:dyDescent="0.45">
      <c r="E153" t="e">
        <f>Ledger[[#This Row],[Transaction amount]]/Ledger[[#This Row],[Price]]</f>
        <v>#DIV/0!</v>
      </c>
      <c r="F153" s="21"/>
      <c r="P153" s="21"/>
      <c r="Z153" s="21"/>
      <c r="AJ153" s="21"/>
      <c r="AT153" s="21"/>
      <c r="BD153" s="21"/>
    </row>
    <row r="154" spans="5:61" x14ac:dyDescent="0.45">
      <c r="E154" t="e">
        <f>Ledger[[#This Row],[Transaction amount]]/Ledger[[#This Row],[Price]]</f>
        <v>#DIV/0!</v>
      </c>
      <c r="F154" s="21"/>
      <c r="P154" s="21"/>
      <c r="Z154" s="21"/>
      <c r="AJ154" s="21"/>
      <c r="AT154" s="21"/>
      <c r="BD154" s="21"/>
    </row>
    <row r="155" spans="5:61" x14ac:dyDescent="0.45">
      <c r="E155" t="e">
        <f>Ledger[[#This Row],[Transaction amount]]/Ledger[[#This Row],[Price]]</f>
        <v>#DIV/0!</v>
      </c>
      <c r="F155" s="21"/>
      <c r="P155" s="21"/>
      <c r="Z155" s="21"/>
      <c r="AJ155" s="21"/>
      <c r="AT155" s="21"/>
      <c r="BD155" s="21"/>
    </row>
    <row r="156" spans="5:61" x14ac:dyDescent="0.45">
      <c r="E156" t="e">
        <f>Ledger[[#This Row],[Transaction amount]]/Ledger[[#This Row],[Price]]</f>
        <v>#DIV/0!</v>
      </c>
      <c r="F156" s="21"/>
      <c r="P156" s="21"/>
      <c r="Z156" s="21"/>
      <c r="AJ156" s="21"/>
      <c r="AT156" s="21"/>
      <c r="BD156" s="21"/>
    </row>
    <row r="157" spans="5:61" x14ac:dyDescent="0.45">
      <c r="E157" t="e">
        <f>Ledger[[#This Row],[Transaction amount]]/Ledger[[#This Row],[Price]]</f>
        <v>#DIV/0!</v>
      </c>
      <c r="F157" s="21"/>
      <c r="P157" s="21"/>
      <c r="Z157" s="21"/>
      <c r="AJ157" s="21"/>
      <c r="AT157" s="21"/>
      <c r="BD157" s="21"/>
    </row>
    <row r="158" spans="5:61" x14ac:dyDescent="0.45">
      <c r="E158" t="e">
        <f>Ledger[[#This Row],[Transaction amount]]/Ledger[[#This Row],[Price]]</f>
        <v>#DIV/0!</v>
      </c>
      <c r="F158" s="21"/>
      <c r="P158" s="21"/>
      <c r="Z158" s="21"/>
      <c r="AJ158" s="21"/>
      <c r="AT158" s="21"/>
      <c r="BD158" s="21"/>
    </row>
    <row r="159" spans="5:61" x14ac:dyDescent="0.45">
      <c r="E159" t="e">
        <f>Ledger[[#This Row],[Transaction amount]]/Ledger[[#This Row],[Price]]</f>
        <v>#DIV/0!</v>
      </c>
      <c r="F159" s="21"/>
      <c r="P159" s="21"/>
      <c r="Z159" s="21"/>
      <c r="AJ159" s="21"/>
      <c r="AT159" s="21"/>
      <c r="BD159" s="21"/>
    </row>
    <row r="160" spans="5:61" x14ac:dyDescent="0.45">
      <c r="E160" t="e">
        <f>Ledger[[#This Row],[Transaction amount]]/Ledger[[#This Row],[Price]]</f>
        <v>#DIV/0!</v>
      </c>
      <c r="F160" s="21"/>
      <c r="P160" s="21"/>
      <c r="Z160" s="21"/>
      <c r="AJ160" s="21"/>
      <c r="AT160" s="21"/>
      <c r="BD160" s="21"/>
    </row>
    <row r="161" spans="5:56" x14ac:dyDescent="0.45">
      <c r="E161" t="e">
        <f>Ledger[[#This Row],[Transaction amount]]/Ledger[[#This Row],[Price]]</f>
        <v>#DIV/0!</v>
      </c>
      <c r="F161" s="21"/>
      <c r="P161" s="21"/>
      <c r="Z161" s="21"/>
      <c r="AJ161" s="21"/>
      <c r="AT161" s="21"/>
      <c r="BD161" s="21"/>
    </row>
    <row r="162" spans="5:56" x14ac:dyDescent="0.45">
      <c r="E162" t="e">
        <f>Ledger[[#This Row],[Transaction amount]]/Ledger[[#This Row],[Price]]</f>
        <v>#DIV/0!</v>
      </c>
      <c r="F162" s="21"/>
      <c r="P162" s="21"/>
      <c r="Z162" s="21"/>
      <c r="AJ162" s="21"/>
      <c r="AT162" s="21"/>
      <c r="BD162" s="21"/>
    </row>
    <row r="163" spans="5:56" x14ac:dyDescent="0.45">
      <c r="E163" t="e">
        <f>Ledger[[#This Row],[Transaction amount]]/Ledger[[#This Row],[Price]]</f>
        <v>#DIV/0!</v>
      </c>
      <c r="F163" s="21"/>
      <c r="P163" s="21"/>
      <c r="Z163" s="21"/>
      <c r="AJ163" s="21"/>
      <c r="AT163" s="21"/>
      <c r="BD163" s="21"/>
    </row>
    <row r="164" spans="5:56" x14ac:dyDescent="0.45">
      <c r="E164" t="e">
        <f>Ledger[[#This Row],[Transaction amount]]/Ledger[[#This Row],[Price]]</f>
        <v>#DIV/0!</v>
      </c>
      <c r="F164" s="21"/>
      <c r="P164" s="21"/>
      <c r="Z164" s="21"/>
      <c r="AJ164" s="21"/>
      <c r="AT164" s="21"/>
      <c r="BD164" s="21"/>
    </row>
    <row r="165" spans="5:56" x14ac:dyDescent="0.45">
      <c r="E165" t="e">
        <f>Ledger[[#This Row],[Transaction amount]]/Ledger[[#This Row],[Price]]</f>
        <v>#DIV/0!</v>
      </c>
      <c r="F165" s="21"/>
      <c r="P165" s="21"/>
      <c r="Z165" s="21"/>
      <c r="AJ165" s="21"/>
      <c r="AT165" s="21"/>
      <c r="BD165" s="21"/>
    </row>
    <row r="166" spans="5:56" x14ac:dyDescent="0.45">
      <c r="E166" t="e">
        <f>Ledger[[#This Row],[Transaction amount]]/Ledger[[#This Row],[Price]]</f>
        <v>#DIV/0!</v>
      </c>
      <c r="F166" s="21"/>
      <c r="P166" s="21"/>
      <c r="Z166" s="21"/>
      <c r="AJ166" s="21"/>
      <c r="AT166" s="21"/>
      <c r="BD166" s="21"/>
    </row>
    <row r="167" spans="5:56" x14ac:dyDescent="0.45">
      <c r="E167" t="e">
        <f>Ledger[[#This Row],[Transaction amount]]/Ledger[[#This Row],[Price]]</f>
        <v>#DIV/0!</v>
      </c>
      <c r="F167" s="21"/>
      <c r="P167" s="21"/>
      <c r="Z167" s="21"/>
      <c r="AJ167" s="21"/>
      <c r="AT167" s="21"/>
      <c r="BD167" s="21"/>
    </row>
    <row r="168" spans="5:56" x14ac:dyDescent="0.45">
      <c r="E168" t="e">
        <f>Ledger[[#This Row],[Transaction amount]]/Ledger[[#This Row],[Price]]</f>
        <v>#DIV/0!</v>
      </c>
      <c r="F168" s="21"/>
      <c r="P168" s="21"/>
      <c r="Z168" s="21"/>
      <c r="AJ168" s="21"/>
      <c r="AT168" s="21"/>
      <c r="BD168" s="21"/>
    </row>
    <row r="169" spans="5:56" x14ac:dyDescent="0.45">
      <c r="E169" t="e">
        <f>Ledger[[#This Row],[Transaction amount]]/Ledger[[#This Row],[Price]]</f>
        <v>#DIV/0!</v>
      </c>
      <c r="F169" s="21"/>
      <c r="P169" s="21"/>
      <c r="Z169" s="21"/>
      <c r="AJ169" s="21"/>
      <c r="AT169" s="21"/>
      <c r="BD169" s="21"/>
    </row>
    <row r="170" spans="5:56" x14ac:dyDescent="0.45">
      <c r="E170" t="e">
        <f>Ledger[[#This Row],[Transaction amount]]/Ledger[[#This Row],[Price]]</f>
        <v>#DIV/0!</v>
      </c>
      <c r="F170" s="21"/>
      <c r="P170" s="21"/>
      <c r="Z170" s="21"/>
      <c r="AJ170" s="21"/>
      <c r="AT170" s="21"/>
      <c r="BD170" s="21"/>
    </row>
    <row r="171" spans="5:56" x14ac:dyDescent="0.45">
      <c r="E171" t="e">
        <f>Ledger[[#This Row],[Transaction amount]]/Ledger[[#This Row],[Price]]</f>
        <v>#DIV/0!</v>
      </c>
      <c r="F171" s="21"/>
      <c r="P171" s="21"/>
      <c r="Z171" s="21"/>
      <c r="AJ171" s="21"/>
      <c r="AT171" s="21"/>
      <c r="BD171" s="21"/>
    </row>
    <row r="172" spans="5:56" x14ac:dyDescent="0.45">
      <c r="E172" t="e">
        <f>Ledger[[#This Row],[Transaction amount]]/Ledger[[#This Row],[Price]]</f>
        <v>#DIV/0!</v>
      </c>
      <c r="F172" s="21"/>
      <c r="P172" s="21"/>
      <c r="Z172" s="21"/>
      <c r="AJ172" s="21"/>
      <c r="AT172" s="21"/>
      <c r="BD172" s="21"/>
    </row>
    <row r="173" spans="5:56" x14ac:dyDescent="0.45">
      <c r="E173" t="e">
        <f>Ledger[[#This Row],[Transaction amount]]/Ledger[[#This Row],[Price]]</f>
        <v>#DIV/0!</v>
      </c>
      <c r="F173" s="21"/>
      <c r="P173" s="21"/>
      <c r="Z173" s="21"/>
      <c r="AJ173" s="21"/>
      <c r="AT173" s="21"/>
      <c r="BD173" s="21"/>
    </row>
    <row r="174" spans="5:56" x14ac:dyDescent="0.45">
      <c r="E174" t="e">
        <f>Ledger[[#This Row],[Transaction amount]]/Ledger[[#This Row],[Price]]</f>
        <v>#DIV/0!</v>
      </c>
      <c r="F174" s="21"/>
      <c r="P174" s="21"/>
      <c r="Z174" s="21"/>
      <c r="AJ174" s="21"/>
      <c r="AT174" s="21"/>
      <c r="BD174" s="21"/>
    </row>
    <row r="175" spans="5:56" x14ac:dyDescent="0.45">
      <c r="E175" t="e">
        <f>Ledger[[#This Row],[Transaction amount]]/Ledger[[#This Row],[Price]]</f>
        <v>#DIV/0!</v>
      </c>
      <c r="F175" s="21"/>
      <c r="P175" s="21"/>
      <c r="Z175" s="21"/>
      <c r="AJ175" s="21"/>
      <c r="AT175" s="21"/>
      <c r="BD175" s="21"/>
    </row>
    <row r="176" spans="5:56" x14ac:dyDescent="0.45">
      <c r="E176" t="e">
        <f>Ledger[[#This Row],[Transaction amount]]/Ledger[[#This Row],[Price]]</f>
        <v>#DIV/0!</v>
      </c>
      <c r="F176" s="21"/>
      <c r="P176" s="21"/>
      <c r="Z176" s="21"/>
      <c r="AJ176" s="21"/>
      <c r="AT176" s="21"/>
      <c r="BD176" s="21"/>
    </row>
    <row r="177" spans="5:56" x14ac:dyDescent="0.45">
      <c r="E177" t="e">
        <f>Ledger[[#This Row],[Transaction amount]]/Ledger[[#This Row],[Price]]</f>
        <v>#DIV/0!</v>
      </c>
      <c r="F177" s="21"/>
      <c r="P177" s="21"/>
      <c r="Z177" s="21"/>
      <c r="AJ177" s="21"/>
      <c r="AT177" s="21"/>
      <c r="BD177" s="21"/>
    </row>
    <row r="178" spans="5:56" x14ac:dyDescent="0.45">
      <c r="E178" t="e">
        <f>Ledger[[#This Row],[Transaction amount]]/Ledger[[#This Row],[Price]]</f>
        <v>#DIV/0!</v>
      </c>
      <c r="F178" s="21"/>
      <c r="P178" s="21"/>
      <c r="Z178" s="21"/>
      <c r="AJ178" s="21"/>
      <c r="AT178" s="21"/>
      <c r="BD178" s="21"/>
    </row>
    <row r="179" spans="5:56" x14ac:dyDescent="0.45">
      <c r="E179" t="e">
        <f>Ledger[[#This Row],[Transaction amount]]/Ledger[[#This Row],[Price]]</f>
        <v>#DIV/0!</v>
      </c>
      <c r="F179" s="21"/>
      <c r="P179" s="21"/>
      <c r="Z179" s="21"/>
      <c r="AJ179" s="21"/>
      <c r="AT179" s="21"/>
      <c r="BD179" s="21"/>
    </row>
    <row r="180" spans="5:56" x14ac:dyDescent="0.45">
      <c r="E180" t="e">
        <f>Ledger[[#This Row],[Transaction amount]]/Ledger[[#This Row],[Price]]</f>
        <v>#DIV/0!</v>
      </c>
      <c r="F180" s="21"/>
      <c r="P180" s="21"/>
      <c r="Z180" s="21"/>
      <c r="AJ180" s="21"/>
      <c r="AT180" s="21"/>
      <c r="BD180" s="21"/>
    </row>
    <row r="181" spans="5:56" x14ac:dyDescent="0.45">
      <c r="E181" t="e">
        <f>Ledger[[#This Row],[Transaction amount]]/Ledger[[#This Row],[Price]]</f>
        <v>#DIV/0!</v>
      </c>
      <c r="F181" s="21"/>
      <c r="P181" s="21"/>
      <c r="Z181" s="21"/>
      <c r="AJ181" s="21"/>
      <c r="AT181" s="21"/>
      <c r="BD181" s="21"/>
    </row>
    <row r="182" spans="5:56" x14ac:dyDescent="0.45">
      <c r="E182" t="e">
        <f>Ledger[[#This Row],[Transaction amount]]/Ledger[[#This Row],[Price]]</f>
        <v>#DIV/0!</v>
      </c>
      <c r="F182" s="21"/>
      <c r="P182" s="21"/>
      <c r="Z182" s="21"/>
      <c r="AJ182" s="21"/>
      <c r="AT182" s="21"/>
      <c r="BD182" s="21"/>
    </row>
    <row r="183" spans="5:56" x14ac:dyDescent="0.45">
      <c r="E183" t="e">
        <f>Ledger[[#This Row],[Transaction amount]]/Ledger[[#This Row],[Price]]</f>
        <v>#DIV/0!</v>
      </c>
      <c r="F183" s="21"/>
      <c r="P183" s="21"/>
      <c r="Z183" s="21"/>
      <c r="AJ183" s="21"/>
      <c r="AT183" s="21"/>
      <c r="BD183" s="21"/>
    </row>
    <row r="184" spans="5:56" x14ac:dyDescent="0.45">
      <c r="E184" t="e">
        <f>Ledger[[#This Row],[Transaction amount]]/Ledger[[#This Row],[Price]]</f>
        <v>#DIV/0!</v>
      </c>
      <c r="F184" s="21"/>
      <c r="P184" s="21"/>
      <c r="Z184" s="21"/>
      <c r="AJ184" s="21"/>
      <c r="AT184" s="21"/>
      <c r="BD184" s="21"/>
    </row>
    <row r="185" spans="5:56" x14ac:dyDescent="0.45">
      <c r="E185" t="e">
        <f>Ledger[[#This Row],[Transaction amount]]/Ledger[[#This Row],[Price]]</f>
        <v>#DIV/0!</v>
      </c>
      <c r="F185" s="21"/>
      <c r="P185" s="21"/>
      <c r="Z185" s="21"/>
      <c r="AJ185" s="21"/>
      <c r="AT185" s="21"/>
      <c r="BD185" s="21"/>
    </row>
    <row r="186" spans="5:56" x14ac:dyDescent="0.45">
      <c r="E186" t="e">
        <f>Ledger[[#This Row],[Transaction amount]]/Ledger[[#This Row],[Price]]</f>
        <v>#DIV/0!</v>
      </c>
      <c r="F186" s="21"/>
      <c r="P186" s="21"/>
      <c r="Z186" s="21"/>
      <c r="AJ186" s="21"/>
      <c r="AT186" s="21"/>
      <c r="BD186" s="21"/>
    </row>
    <row r="187" spans="5:56" x14ac:dyDescent="0.45">
      <c r="E187" t="e">
        <f>Ledger[[#This Row],[Transaction amount]]/Ledger[[#This Row],[Price]]</f>
        <v>#DIV/0!</v>
      </c>
      <c r="F187" s="21"/>
      <c r="P187" s="21"/>
      <c r="Z187" s="21"/>
      <c r="AJ187" s="21"/>
      <c r="AT187" s="21"/>
      <c r="BD187" s="21"/>
    </row>
    <row r="188" spans="5:56" x14ac:dyDescent="0.45">
      <c r="E188" t="e">
        <f>Ledger[[#This Row],[Transaction amount]]/Ledger[[#This Row],[Price]]</f>
        <v>#DIV/0!</v>
      </c>
      <c r="F188" s="21"/>
      <c r="P188" s="21"/>
      <c r="Z188" s="21"/>
      <c r="AJ188" s="21"/>
      <c r="AT188" s="21"/>
      <c r="BD188" s="21"/>
    </row>
    <row r="189" spans="5:56" x14ac:dyDescent="0.45">
      <c r="E189" t="e">
        <f>Ledger[[#This Row],[Transaction amount]]/Ledger[[#This Row],[Price]]</f>
        <v>#DIV/0!</v>
      </c>
      <c r="F189" s="21"/>
      <c r="P189" s="21"/>
      <c r="Z189" s="21"/>
      <c r="AJ189" s="21"/>
      <c r="AT189" s="21"/>
      <c r="BD189" s="21"/>
    </row>
    <row r="190" spans="5:56" x14ac:dyDescent="0.45">
      <c r="E190" t="e">
        <f>Ledger[[#This Row],[Transaction amount]]/Ledger[[#This Row],[Price]]</f>
        <v>#DIV/0!</v>
      </c>
      <c r="F190" s="21"/>
      <c r="P190" s="21"/>
      <c r="Z190" s="21"/>
      <c r="AJ190" s="21"/>
      <c r="AT190" s="21"/>
      <c r="BD190" s="21"/>
    </row>
    <row r="191" spans="5:56" x14ac:dyDescent="0.45">
      <c r="E191" t="e">
        <f>Ledger[[#This Row],[Transaction amount]]/Ledger[[#This Row],[Price]]</f>
        <v>#DIV/0!</v>
      </c>
      <c r="F191" s="21"/>
      <c r="P191" s="21"/>
      <c r="Z191" s="21"/>
      <c r="AJ191" s="21"/>
      <c r="AT191" s="21"/>
      <c r="BD191" s="21"/>
    </row>
    <row r="192" spans="5:56" x14ac:dyDescent="0.45">
      <c r="E192" t="e">
        <f>Ledger[[#This Row],[Transaction amount]]/Ledger[[#This Row],[Price]]</f>
        <v>#DIV/0!</v>
      </c>
      <c r="F192" s="21"/>
      <c r="P192" s="21"/>
      <c r="Z192" s="21"/>
      <c r="AJ192" s="21"/>
      <c r="AT192" s="21"/>
      <c r="BD192" s="21"/>
    </row>
    <row r="193" spans="5:56" x14ac:dyDescent="0.45">
      <c r="E193" t="e">
        <f>Ledger[[#This Row],[Transaction amount]]/Ledger[[#This Row],[Price]]</f>
        <v>#DIV/0!</v>
      </c>
      <c r="F193" s="21"/>
      <c r="P193" s="21"/>
      <c r="Z193" s="21"/>
      <c r="AJ193" s="21"/>
      <c r="AT193" s="21"/>
      <c r="BD193" s="21"/>
    </row>
    <row r="194" spans="5:56" x14ac:dyDescent="0.45">
      <c r="E194" t="e">
        <f>Ledger[[#This Row],[Transaction amount]]/Ledger[[#This Row],[Price]]</f>
        <v>#DIV/0!</v>
      </c>
      <c r="F194" s="21"/>
      <c r="P194" s="21"/>
      <c r="Z194" s="21"/>
      <c r="AJ194" s="21"/>
      <c r="AT194" s="21"/>
      <c r="BD194" s="21"/>
    </row>
    <row r="195" spans="5:56" x14ac:dyDescent="0.45">
      <c r="E195" t="e">
        <f>Ledger[[#This Row],[Transaction amount]]/Ledger[[#This Row],[Price]]</f>
        <v>#DIV/0!</v>
      </c>
      <c r="F195" s="21"/>
      <c r="P195" s="21"/>
      <c r="Z195" s="21"/>
      <c r="AJ195" s="21"/>
      <c r="AT195" s="21"/>
      <c r="BD195" s="21"/>
    </row>
    <row r="196" spans="5:56" x14ac:dyDescent="0.45">
      <c r="E196" t="e">
        <f>Ledger[[#This Row],[Transaction amount]]/Ledger[[#This Row],[Price]]</f>
        <v>#DIV/0!</v>
      </c>
      <c r="F196" s="21"/>
      <c r="P196" s="21"/>
      <c r="Z196" s="21"/>
      <c r="AJ196" s="21"/>
      <c r="AT196" s="21"/>
      <c r="BD196" s="21"/>
    </row>
    <row r="197" spans="5:56" x14ac:dyDescent="0.45">
      <c r="E197" t="e">
        <f>Ledger[[#This Row],[Transaction amount]]/Ledger[[#This Row],[Price]]</f>
        <v>#DIV/0!</v>
      </c>
      <c r="F197" s="21"/>
      <c r="P197" s="21"/>
      <c r="Z197" s="21"/>
      <c r="AJ197" s="21"/>
      <c r="AT197" s="21"/>
      <c r="BD197" s="21"/>
    </row>
    <row r="198" spans="5:56" x14ac:dyDescent="0.45">
      <c r="E198" t="e">
        <f>Ledger[[#This Row],[Transaction amount]]/Ledger[[#This Row],[Price]]</f>
        <v>#DIV/0!</v>
      </c>
      <c r="F198" s="21"/>
      <c r="P198" s="21"/>
      <c r="Z198" s="21"/>
      <c r="AJ198" s="21"/>
      <c r="AT198" s="21"/>
      <c r="BD198" s="21"/>
    </row>
    <row r="199" spans="5:56" x14ac:dyDescent="0.45">
      <c r="E199" t="e">
        <f>Ledger[[#This Row],[Transaction amount]]/Ledger[[#This Row],[Price]]</f>
        <v>#DIV/0!</v>
      </c>
      <c r="F199" s="21"/>
      <c r="P199" s="21"/>
      <c r="Z199" s="21"/>
      <c r="AJ199" s="21"/>
      <c r="AT199" s="21"/>
      <c r="BD199" s="21"/>
    </row>
    <row r="200" spans="5:56" x14ac:dyDescent="0.45">
      <c r="E200" t="e">
        <f>Ledger[[#This Row],[Transaction amount]]/Ledger[[#This Row],[Price]]</f>
        <v>#DIV/0!</v>
      </c>
      <c r="F200" s="21"/>
      <c r="P200" s="21"/>
      <c r="Z200" s="21"/>
      <c r="AJ200" s="21"/>
      <c r="AT200" s="21"/>
      <c r="BD200" s="21"/>
    </row>
    <row r="201" spans="5:56" x14ac:dyDescent="0.45">
      <c r="E201" t="e">
        <f>Ledger[[#This Row],[Transaction amount]]/Ledger[[#This Row],[Price]]</f>
        <v>#DIV/0!</v>
      </c>
      <c r="F201" s="21"/>
      <c r="P201" s="21"/>
      <c r="Z201" s="21"/>
      <c r="AJ201" s="21"/>
      <c r="AT201" s="21"/>
      <c r="BD201" s="21"/>
    </row>
    <row r="202" spans="5:56" x14ac:dyDescent="0.45">
      <c r="E202" t="e">
        <f>Ledger[[#This Row],[Transaction amount]]/Ledger[[#This Row],[Price]]</f>
        <v>#DIV/0!</v>
      </c>
      <c r="F202" s="21"/>
      <c r="P202" s="21"/>
      <c r="Z202" s="21"/>
      <c r="AJ202" s="21"/>
      <c r="AT202" s="21"/>
      <c r="BD202" s="21"/>
    </row>
    <row r="203" spans="5:56" x14ac:dyDescent="0.45">
      <c r="E203" t="e">
        <f>Ledger[[#This Row],[Transaction amount]]/Ledger[[#This Row],[Price]]</f>
        <v>#DIV/0!</v>
      </c>
      <c r="F203" s="21"/>
      <c r="P203" s="21"/>
      <c r="Z203" s="21"/>
      <c r="AJ203" s="21"/>
      <c r="AT203" s="21"/>
      <c r="BD203" s="21"/>
    </row>
    <row r="204" spans="5:56" x14ac:dyDescent="0.45">
      <c r="E204" t="e">
        <f>Ledger[[#This Row],[Transaction amount]]/Ledger[[#This Row],[Price]]</f>
        <v>#DIV/0!</v>
      </c>
      <c r="F204" s="21"/>
      <c r="P204" s="21"/>
      <c r="Z204" s="21"/>
      <c r="AJ204" s="21"/>
      <c r="AT204" s="21"/>
      <c r="BD204" s="21"/>
    </row>
    <row r="205" spans="5:56" x14ac:dyDescent="0.45">
      <c r="E205" t="e">
        <f>Ledger[[#This Row],[Transaction amount]]/Ledger[[#This Row],[Price]]</f>
        <v>#DIV/0!</v>
      </c>
      <c r="F205" s="21"/>
      <c r="P205" s="21"/>
      <c r="Z205" s="21"/>
      <c r="AJ205" s="21"/>
      <c r="AT205" s="21"/>
      <c r="BD205" s="21"/>
    </row>
    <row r="206" spans="5:56" x14ac:dyDescent="0.45">
      <c r="E206" t="e">
        <f>Ledger[[#This Row],[Transaction amount]]/Ledger[[#This Row],[Price]]</f>
        <v>#DIV/0!</v>
      </c>
      <c r="F206" s="21"/>
      <c r="P206" s="21"/>
      <c r="Z206" s="21"/>
      <c r="AJ206" s="21"/>
      <c r="AT206" s="21"/>
      <c r="BD206" s="21"/>
    </row>
    <row r="207" spans="5:56" x14ac:dyDescent="0.45">
      <c r="E207" t="e">
        <f>Ledger[[#This Row],[Transaction amount]]/Ledger[[#This Row],[Price]]</f>
        <v>#DIV/0!</v>
      </c>
      <c r="F207" s="21"/>
      <c r="P207" s="21"/>
      <c r="Z207" s="21"/>
      <c r="AJ207" s="21"/>
      <c r="AT207" s="21"/>
      <c r="BD207" s="21"/>
    </row>
    <row r="208" spans="5:56" x14ac:dyDescent="0.45">
      <c r="E208" t="e">
        <f>Ledger[[#This Row],[Transaction amount]]/Ledger[[#This Row],[Price]]</f>
        <v>#DIV/0!</v>
      </c>
      <c r="F208" s="21"/>
      <c r="P208" s="21"/>
      <c r="Z208" s="21"/>
      <c r="AJ208" s="21"/>
      <c r="AT208" s="21"/>
      <c r="BD208" s="21"/>
    </row>
    <row r="209" spans="5:56" x14ac:dyDescent="0.45">
      <c r="E209" t="e">
        <f>Ledger[[#This Row],[Transaction amount]]/Ledger[[#This Row],[Price]]</f>
        <v>#DIV/0!</v>
      </c>
      <c r="F209" s="21"/>
      <c r="P209" s="21"/>
      <c r="Z209" s="21"/>
      <c r="AJ209" s="21"/>
      <c r="AT209" s="21"/>
      <c r="BD209" s="21"/>
    </row>
    <row r="210" spans="5:56" x14ac:dyDescent="0.45">
      <c r="E210" t="e">
        <f>Ledger[[#This Row],[Transaction amount]]/Ledger[[#This Row],[Price]]</f>
        <v>#DIV/0!</v>
      </c>
      <c r="F210" s="21"/>
      <c r="P210" s="21"/>
      <c r="Z210" s="21"/>
      <c r="AJ210" s="21"/>
      <c r="AT210" s="21"/>
      <c r="BD210" s="21"/>
    </row>
    <row r="211" spans="5:56" x14ac:dyDescent="0.45">
      <c r="E211" t="e">
        <f>Ledger[[#This Row],[Transaction amount]]/Ledger[[#This Row],[Price]]</f>
        <v>#DIV/0!</v>
      </c>
      <c r="F211" s="21"/>
      <c r="P211" s="21"/>
      <c r="Z211" s="21"/>
      <c r="AJ211" s="21"/>
      <c r="AT211" s="21"/>
      <c r="BD211" s="21"/>
    </row>
    <row r="212" spans="5:56" x14ac:dyDescent="0.45">
      <c r="E212" t="e">
        <f>Ledger[[#This Row],[Transaction amount]]/Ledger[[#This Row],[Price]]</f>
        <v>#DIV/0!</v>
      </c>
      <c r="F212" s="21"/>
      <c r="P212" s="21"/>
      <c r="Z212" s="21"/>
      <c r="AJ212" s="21"/>
      <c r="AT212" s="21"/>
      <c r="BD212" s="21"/>
    </row>
    <row r="213" spans="5:56" x14ac:dyDescent="0.45">
      <c r="E213" t="e">
        <f>Ledger[[#This Row],[Transaction amount]]/Ledger[[#This Row],[Price]]</f>
        <v>#DIV/0!</v>
      </c>
      <c r="F213" s="21"/>
      <c r="P213" s="21"/>
      <c r="Z213" s="21"/>
      <c r="AJ213" s="21"/>
      <c r="AT213" s="21"/>
      <c r="BD213" s="21"/>
    </row>
    <row r="214" spans="5:56" x14ac:dyDescent="0.45">
      <c r="E214" t="e">
        <f>Ledger[[#This Row],[Transaction amount]]/Ledger[[#This Row],[Price]]</f>
        <v>#DIV/0!</v>
      </c>
      <c r="F214" s="21"/>
      <c r="P214" s="21"/>
      <c r="Z214" s="21"/>
      <c r="AJ214" s="21"/>
      <c r="AT214" s="21"/>
      <c r="BD214" s="21"/>
    </row>
    <row r="215" spans="5:56" x14ac:dyDescent="0.45">
      <c r="E215" t="e">
        <f>Ledger[[#This Row],[Transaction amount]]/Ledger[[#This Row],[Price]]</f>
        <v>#DIV/0!</v>
      </c>
      <c r="F215" s="21"/>
      <c r="P215" s="21"/>
      <c r="Z215" s="21"/>
      <c r="AJ215" s="21"/>
      <c r="AT215" s="21"/>
      <c r="BD215" s="21"/>
    </row>
    <row r="216" spans="5:56" x14ac:dyDescent="0.45">
      <c r="E216" t="e">
        <f>Ledger[[#This Row],[Transaction amount]]/Ledger[[#This Row],[Price]]</f>
        <v>#DIV/0!</v>
      </c>
      <c r="F216" s="21"/>
      <c r="P216" s="21"/>
      <c r="Z216" s="21"/>
      <c r="AJ216" s="21"/>
      <c r="AT216" s="21"/>
      <c r="BD216" s="21"/>
    </row>
    <row r="217" spans="5:56" x14ac:dyDescent="0.45">
      <c r="E217" t="e">
        <f>Ledger[[#This Row],[Transaction amount]]/Ledger[[#This Row],[Price]]</f>
        <v>#DIV/0!</v>
      </c>
      <c r="F217" s="21"/>
      <c r="P217" s="21"/>
      <c r="Z217" s="21"/>
      <c r="AJ217" s="21"/>
      <c r="AT217" s="21"/>
      <c r="BD217" s="21"/>
    </row>
    <row r="218" spans="5:56" x14ac:dyDescent="0.45">
      <c r="E218" t="e">
        <f>Ledger[[#This Row],[Transaction amount]]/Ledger[[#This Row],[Price]]</f>
        <v>#DIV/0!</v>
      </c>
      <c r="F218" s="21"/>
      <c r="P218" s="21"/>
      <c r="Z218" s="21"/>
      <c r="AJ218" s="21"/>
      <c r="AT218" s="21"/>
      <c r="BD218" s="21"/>
    </row>
    <row r="219" spans="5:56" x14ac:dyDescent="0.45">
      <c r="E219" t="e">
        <f>Ledger[[#This Row],[Transaction amount]]/Ledger[[#This Row],[Price]]</f>
        <v>#DIV/0!</v>
      </c>
      <c r="F219" s="21"/>
      <c r="P219" s="21"/>
      <c r="Z219" s="21"/>
      <c r="AJ219" s="21"/>
      <c r="AT219" s="21"/>
      <c r="BD219" s="21"/>
    </row>
    <row r="220" spans="5:56" x14ac:dyDescent="0.45">
      <c r="E220" t="e">
        <f>Ledger[[#This Row],[Transaction amount]]/Ledger[[#This Row],[Price]]</f>
        <v>#DIV/0!</v>
      </c>
      <c r="F220" s="21"/>
      <c r="P220" s="21"/>
      <c r="Z220" s="21"/>
      <c r="AJ220" s="21"/>
      <c r="AT220" s="21"/>
      <c r="BD220" s="21"/>
    </row>
    <row r="221" spans="5:56" x14ac:dyDescent="0.45">
      <c r="E221" t="e">
        <f>Ledger[[#This Row],[Transaction amount]]/Ledger[[#This Row],[Price]]</f>
        <v>#DIV/0!</v>
      </c>
      <c r="F221" s="21"/>
      <c r="P221" s="21"/>
      <c r="Z221" s="21"/>
      <c r="AJ221" s="21"/>
      <c r="AT221" s="21"/>
      <c r="BD221" s="21"/>
    </row>
    <row r="222" spans="5:56" x14ac:dyDescent="0.45">
      <c r="E222" t="e">
        <f>Ledger[[#This Row],[Transaction amount]]/Ledger[[#This Row],[Price]]</f>
        <v>#DIV/0!</v>
      </c>
      <c r="F222" s="21"/>
      <c r="P222" s="21"/>
      <c r="Z222" s="21"/>
      <c r="AJ222" s="21"/>
      <c r="AT222" s="21"/>
      <c r="BD222" s="21"/>
    </row>
    <row r="223" spans="5:56" x14ac:dyDescent="0.45">
      <c r="E223" t="e">
        <f>Ledger[[#This Row],[Transaction amount]]/Ledger[[#This Row],[Price]]</f>
        <v>#DIV/0!</v>
      </c>
      <c r="F223" s="21"/>
      <c r="P223" s="21"/>
      <c r="Z223" s="21"/>
      <c r="AJ223" s="21"/>
      <c r="AT223" s="21"/>
      <c r="BD223" s="21"/>
    </row>
    <row r="224" spans="5:56" x14ac:dyDescent="0.45">
      <c r="E224" t="e">
        <f>Ledger[[#This Row],[Transaction amount]]/Ledger[[#This Row],[Price]]</f>
        <v>#DIV/0!</v>
      </c>
      <c r="F224" s="21"/>
      <c r="P224" s="21"/>
      <c r="Z224" s="21"/>
      <c r="AJ224" s="21"/>
      <c r="AT224" s="21"/>
      <c r="BD224" s="21"/>
    </row>
    <row r="225" spans="5:56" x14ac:dyDescent="0.45">
      <c r="E225" t="e">
        <f>Ledger[[#This Row],[Transaction amount]]/Ledger[[#This Row],[Price]]</f>
        <v>#DIV/0!</v>
      </c>
      <c r="F225" s="21"/>
      <c r="P225" s="21"/>
      <c r="Z225" s="21"/>
      <c r="AJ225" s="21"/>
      <c r="AT225" s="21"/>
      <c r="BD225" s="21"/>
    </row>
    <row r="226" spans="5:56" x14ac:dyDescent="0.45">
      <c r="E226" t="e">
        <f>Ledger[[#This Row],[Transaction amount]]/Ledger[[#This Row],[Price]]</f>
        <v>#DIV/0!</v>
      </c>
      <c r="F226" s="21"/>
      <c r="P226" s="21"/>
      <c r="Z226" s="21"/>
      <c r="AJ226" s="21"/>
      <c r="AT226" s="21"/>
      <c r="BD226" s="21"/>
    </row>
    <row r="227" spans="5:56" x14ac:dyDescent="0.45">
      <c r="E227" t="e">
        <f>Ledger[[#This Row],[Transaction amount]]/Ledger[[#This Row],[Price]]</f>
        <v>#DIV/0!</v>
      </c>
      <c r="F227" s="21"/>
      <c r="P227" s="21"/>
      <c r="Z227" s="21"/>
      <c r="AJ227" s="21"/>
      <c r="AT227" s="21"/>
      <c r="BD227" s="21"/>
    </row>
    <row r="228" spans="5:56" x14ac:dyDescent="0.45">
      <c r="E228" t="e">
        <f>Ledger[[#This Row],[Transaction amount]]/Ledger[[#This Row],[Price]]</f>
        <v>#DIV/0!</v>
      </c>
      <c r="F228" s="21"/>
      <c r="P228" s="21"/>
      <c r="Z228" s="21"/>
      <c r="AJ228" s="21"/>
      <c r="AT228" s="21"/>
      <c r="BD228" s="21"/>
    </row>
    <row r="229" spans="5:56" x14ac:dyDescent="0.45">
      <c r="E229" t="e">
        <f>Ledger[[#This Row],[Transaction amount]]/Ledger[[#This Row],[Price]]</f>
        <v>#DIV/0!</v>
      </c>
      <c r="F229" s="21"/>
      <c r="P229" s="21"/>
      <c r="Z229" s="21"/>
      <c r="AJ229" s="21"/>
      <c r="AT229" s="21"/>
      <c r="BD229" s="21"/>
    </row>
    <row r="230" spans="5:56" x14ac:dyDescent="0.45">
      <c r="E230" t="e">
        <f>Ledger[[#This Row],[Transaction amount]]/Ledger[[#This Row],[Price]]</f>
        <v>#DIV/0!</v>
      </c>
      <c r="F230" s="21"/>
      <c r="P230" s="21"/>
      <c r="Z230" s="21"/>
      <c r="AJ230" s="21"/>
      <c r="AT230" s="21"/>
      <c r="BD230" s="21"/>
    </row>
    <row r="231" spans="5:56" x14ac:dyDescent="0.45">
      <c r="E231" t="e">
        <f>Ledger[[#This Row],[Transaction amount]]/Ledger[[#This Row],[Price]]</f>
        <v>#DIV/0!</v>
      </c>
      <c r="F231" s="21"/>
      <c r="P231" s="21"/>
      <c r="Z231" s="21"/>
      <c r="AJ231" s="21"/>
      <c r="AT231" s="21"/>
      <c r="BD231" s="21"/>
    </row>
    <row r="232" spans="5:56" x14ac:dyDescent="0.45">
      <c r="E232" t="e">
        <f>Ledger[[#This Row],[Transaction amount]]/Ledger[[#This Row],[Price]]</f>
        <v>#DIV/0!</v>
      </c>
      <c r="F232" s="21"/>
      <c r="P232" s="21"/>
      <c r="Z232" s="21"/>
      <c r="AJ232" s="21"/>
      <c r="AT232" s="21"/>
      <c r="BD232" s="21"/>
    </row>
    <row r="233" spans="5:56" x14ac:dyDescent="0.45">
      <c r="E233" t="e">
        <f>Ledger[[#This Row],[Transaction amount]]/Ledger[[#This Row],[Price]]</f>
        <v>#DIV/0!</v>
      </c>
      <c r="F233" s="21"/>
      <c r="P233" s="21"/>
      <c r="Z233" s="21"/>
      <c r="AJ233" s="21"/>
      <c r="AT233" s="21"/>
      <c r="BD233" s="21"/>
    </row>
    <row r="234" spans="5:56" x14ac:dyDescent="0.45">
      <c r="E234" t="e">
        <f>Ledger[[#This Row],[Transaction amount]]/Ledger[[#This Row],[Price]]</f>
        <v>#DIV/0!</v>
      </c>
      <c r="F234" s="21"/>
      <c r="P234" s="21"/>
      <c r="Z234" s="21"/>
      <c r="AJ234" s="21"/>
      <c r="AT234" s="21"/>
      <c r="BD234" s="21"/>
    </row>
    <row r="235" spans="5:56" x14ac:dyDescent="0.45">
      <c r="E235" t="e">
        <f>Ledger[[#This Row],[Transaction amount]]/Ledger[[#This Row],[Price]]</f>
        <v>#DIV/0!</v>
      </c>
      <c r="F235" s="21"/>
      <c r="P235" s="21"/>
      <c r="Z235" s="21"/>
      <c r="AJ235" s="21"/>
      <c r="AT235" s="21"/>
      <c r="BD235" s="21"/>
    </row>
    <row r="236" spans="5:56" x14ac:dyDescent="0.45">
      <c r="E236" t="e">
        <f>Ledger[[#This Row],[Transaction amount]]/Ledger[[#This Row],[Price]]</f>
        <v>#DIV/0!</v>
      </c>
      <c r="F236" s="21"/>
      <c r="P236" s="21"/>
      <c r="Z236" s="21"/>
      <c r="AJ236" s="21"/>
      <c r="AT236" s="21"/>
      <c r="BD236" s="21"/>
    </row>
    <row r="237" spans="5:56" x14ac:dyDescent="0.45">
      <c r="E237" t="e">
        <f>Ledger[[#This Row],[Transaction amount]]/Ledger[[#This Row],[Price]]</f>
        <v>#DIV/0!</v>
      </c>
      <c r="F237" s="21"/>
      <c r="P237" s="21"/>
      <c r="Z237" s="21"/>
      <c r="AJ237" s="21"/>
      <c r="AT237" s="21"/>
      <c r="BD237" s="21"/>
    </row>
    <row r="238" spans="5:56" x14ac:dyDescent="0.45">
      <c r="E238" t="e">
        <f>Ledger[[#This Row],[Transaction amount]]/Ledger[[#This Row],[Price]]</f>
        <v>#DIV/0!</v>
      </c>
      <c r="F238" s="21"/>
      <c r="P238" s="21"/>
      <c r="Z238" s="21"/>
      <c r="AJ238" s="21"/>
      <c r="AT238" s="21"/>
      <c r="BD238" s="21"/>
    </row>
    <row r="239" spans="5:56" x14ac:dyDescent="0.45">
      <c r="E239" t="e">
        <f>Ledger[[#This Row],[Transaction amount]]/Ledger[[#This Row],[Price]]</f>
        <v>#DIV/0!</v>
      </c>
      <c r="F239" s="21"/>
      <c r="P239" s="21"/>
      <c r="Z239" s="21"/>
      <c r="AJ239" s="21"/>
      <c r="AT239" s="21"/>
      <c r="BD239" s="21"/>
    </row>
    <row r="240" spans="5:56" x14ac:dyDescent="0.45">
      <c r="E240" t="e">
        <f>Ledger[[#This Row],[Transaction amount]]/Ledger[[#This Row],[Price]]</f>
        <v>#DIV/0!</v>
      </c>
      <c r="F240" s="21"/>
      <c r="P240" s="21"/>
      <c r="Z240" s="21"/>
      <c r="AJ240" s="21"/>
      <c r="AT240" s="21"/>
      <c r="BD240" s="21"/>
    </row>
    <row r="241" spans="5:56" x14ac:dyDescent="0.45">
      <c r="E241" t="e">
        <f>Ledger[[#This Row],[Transaction amount]]/Ledger[[#This Row],[Price]]</f>
        <v>#DIV/0!</v>
      </c>
      <c r="F241" s="21"/>
      <c r="P241" s="21"/>
      <c r="Z241" s="21"/>
      <c r="AJ241" s="21"/>
      <c r="AT241" s="21"/>
      <c r="BD241" s="21"/>
    </row>
    <row r="242" spans="5:56" x14ac:dyDescent="0.45">
      <c r="E242" t="e">
        <f>Ledger[[#This Row],[Transaction amount]]/Ledger[[#This Row],[Price]]</f>
        <v>#DIV/0!</v>
      </c>
      <c r="F242" s="21"/>
      <c r="P242" s="21"/>
      <c r="Z242" s="21"/>
      <c r="AJ242" s="21"/>
      <c r="AT242" s="21"/>
      <c r="BD242" s="21"/>
    </row>
    <row r="243" spans="5:56" x14ac:dyDescent="0.45">
      <c r="E243" t="e">
        <f>Ledger[[#This Row],[Transaction amount]]/Ledger[[#This Row],[Price]]</f>
        <v>#DIV/0!</v>
      </c>
      <c r="F243" s="21"/>
      <c r="P243" s="21"/>
      <c r="Z243" s="21"/>
      <c r="AJ243" s="21"/>
      <c r="AT243" s="21"/>
      <c r="BD243" s="21"/>
    </row>
    <row r="244" spans="5:56" x14ac:dyDescent="0.45">
      <c r="E244" t="e">
        <f>Ledger[[#This Row],[Transaction amount]]/Ledger[[#This Row],[Price]]</f>
        <v>#DIV/0!</v>
      </c>
      <c r="F244" s="21"/>
      <c r="P244" s="21"/>
      <c r="Z244" s="21"/>
      <c r="AJ244" s="21"/>
      <c r="AT244" s="21"/>
      <c r="BD244" s="21"/>
    </row>
    <row r="245" spans="5:56" x14ac:dyDescent="0.45">
      <c r="E245" t="e">
        <f>Ledger[[#This Row],[Transaction amount]]/Ledger[[#This Row],[Price]]</f>
        <v>#DIV/0!</v>
      </c>
      <c r="F245" s="21"/>
      <c r="P245" s="21"/>
      <c r="Z245" s="21"/>
      <c r="AJ245" s="21"/>
      <c r="AT245" s="21"/>
      <c r="BD245" s="21"/>
    </row>
    <row r="246" spans="5:56" x14ac:dyDescent="0.45">
      <c r="E246" t="e">
        <f>Ledger[[#This Row],[Transaction amount]]/Ledger[[#This Row],[Price]]</f>
        <v>#DIV/0!</v>
      </c>
      <c r="F246" s="21"/>
      <c r="P246" s="21"/>
      <c r="Z246" s="21"/>
      <c r="AJ246" s="21"/>
      <c r="AT246" s="21"/>
      <c r="BD246" s="21"/>
    </row>
    <row r="247" spans="5:56" x14ac:dyDescent="0.45">
      <c r="E247" t="e">
        <f>Ledger[[#This Row],[Transaction amount]]/Ledger[[#This Row],[Price]]</f>
        <v>#DIV/0!</v>
      </c>
      <c r="F247" s="21"/>
      <c r="P247" s="21"/>
      <c r="Z247" s="21"/>
      <c r="AJ247" s="21"/>
      <c r="AT247" s="21"/>
      <c r="BD247" s="21"/>
    </row>
    <row r="248" spans="5:56" x14ac:dyDescent="0.45">
      <c r="E248" t="e">
        <f>Ledger[[#This Row],[Transaction amount]]/Ledger[[#This Row],[Price]]</f>
        <v>#DIV/0!</v>
      </c>
      <c r="F248" s="21"/>
      <c r="P248" s="21"/>
      <c r="Z248" s="21"/>
      <c r="AJ248" s="21"/>
      <c r="AT248" s="21"/>
      <c r="BD248" s="21"/>
    </row>
    <row r="249" spans="5:56" x14ac:dyDescent="0.45">
      <c r="E249" t="e">
        <f>Ledger[[#This Row],[Transaction amount]]/Ledger[[#This Row],[Price]]</f>
        <v>#DIV/0!</v>
      </c>
      <c r="F249" s="21"/>
      <c r="P249" s="21"/>
      <c r="Z249" s="21"/>
      <c r="AJ249" s="21"/>
      <c r="AT249" s="21"/>
      <c r="BD249" s="21"/>
    </row>
    <row r="250" spans="5:56" x14ac:dyDescent="0.45">
      <c r="E250" t="e">
        <f>Ledger[[#This Row],[Transaction amount]]/Ledger[[#This Row],[Price]]</f>
        <v>#DIV/0!</v>
      </c>
      <c r="F250" s="21"/>
      <c r="P250" s="21"/>
      <c r="Z250" s="21"/>
      <c r="AJ250" s="21"/>
      <c r="AT250" s="21"/>
      <c r="BD250" s="21"/>
    </row>
    <row r="251" spans="5:56" x14ac:dyDescent="0.45">
      <c r="E251" t="e">
        <f>Ledger[[#This Row],[Transaction amount]]/Ledger[[#This Row],[Price]]</f>
        <v>#DIV/0!</v>
      </c>
      <c r="F251" s="21"/>
      <c r="P251" s="21"/>
      <c r="Z251" s="21"/>
      <c r="AJ251" s="21"/>
      <c r="AT251" s="21"/>
      <c r="BD251" s="21"/>
    </row>
    <row r="252" spans="5:56" x14ac:dyDescent="0.45">
      <c r="E252" t="e">
        <f>Ledger[[#This Row],[Transaction amount]]/Ledger[[#This Row],[Price]]</f>
        <v>#DIV/0!</v>
      </c>
      <c r="F252" s="21"/>
      <c r="P252" s="21"/>
      <c r="Z252" s="21"/>
      <c r="AJ252" s="21"/>
      <c r="AT252" s="21"/>
      <c r="BD252" s="21"/>
    </row>
    <row r="253" spans="5:56" x14ac:dyDescent="0.45">
      <c r="E253" t="e">
        <f>Ledger[[#This Row],[Transaction amount]]/Ledger[[#This Row],[Price]]</f>
        <v>#DIV/0!</v>
      </c>
      <c r="F253" s="21"/>
      <c r="P253" s="21"/>
      <c r="Z253" s="21"/>
      <c r="AJ253" s="21"/>
      <c r="AT253" s="21"/>
      <c r="BD253" s="21"/>
    </row>
    <row r="254" spans="5:56" x14ac:dyDescent="0.45">
      <c r="E254" t="e">
        <f>Ledger[[#This Row],[Transaction amount]]/Ledger[[#This Row],[Price]]</f>
        <v>#DIV/0!</v>
      </c>
      <c r="F254" s="21"/>
      <c r="P254" s="21"/>
      <c r="Z254" s="21"/>
      <c r="AJ254" s="21"/>
      <c r="AT254" s="21"/>
      <c r="BD254" s="21"/>
    </row>
    <row r="255" spans="5:56" x14ac:dyDescent="0.45">
      <c r="E255" t="e">
        <f>Ledger[[#This Row],[Transaction amount]]/Ledger[[#This Row],[Price]]</f>
        <v>#DIV/0!</v>
      </c>
      <c r="F255" s="21"/>
      <c r="P255" s="21"/>
      <c r="Z255" s="21"/>
      <c r="AJ255" s="21"/>
      <c r="AT255" s="21"/>
      <c r="BD255" s="21"/>
    </row>
    <row r="256" spans="5:56" x14ac:dyDescent="0.45">
      <c r="E256" t="e">
        <f>Ledger[[#This Row],[Transaction amount]]/Ledger[[#This Row],[Price]]</f>
        <v>#DIV/0!</v>
      </c>
      <c r="F256" s="21"/>
      <c r="P256" s="21"/>
      <c r="Z256" s="21"/>
      <c r="AJ256" s="21"/>
      <c r="AT256" s="21"/>
      <c r="BD256" s="21"/>
    </row>
    <row r="257" spans="5:56" x14ac:dyDescent="0.45">
      <c r="E257" t="e">
        <f>Ledger[[#This Row],[Transaction amount]]/Ledger[[#This Row],[Price]]</f>
        <v>#DIV/0!</v>
      </c>
      <c r="F257" s="21"/>
      <c r="P257" s="21"/>
      <c r="Z257" s="21"/>
      <c r="AJ257" s="21"/>
      <c r="AT257" s="21"/>
      <c r="BD257" s="21"/>
    </row>
    <row r="258" spans="5:56" x14ac:dyDescent="0.45">
      <c r="E258" t="e">
        <f>Ledger[[#This Row],[Transaction amount]]/Ledger[[#This Row],[Price]]</f>
        <v>#DIV/0!</v>
      </c>
      <c r="F258" s="21"/>
      <c r="P258" s="21"/>
      <c r="Z258" s="21"/>
      <c r="AJ258" s="21"/>
      <c r="AT258" s="21"/>
      <c r="BD258" s="21"/>
    </row>
    <row r="259" spans="5:56" x14ac:dyDescent="0.45">
      <c r="E259" t="e">
        <f>Ledger[[#This Row],[Transaction amount]]/Ledger[[#This Row],[Price]]</f>
        <v>#DIV/0!</v>
      </c>
      <c r="F259" s="21"/>
      <c r="P259" s="21"/>
      <c r="Z259" s="21"/>
      <c r="AJ259" s="21"/>
      <c r="AT259" s="21"/>
      <c r="BD259" s="21"/>
    </row>
    <row r="260" spans="5:56" x14ac:dyDescent="0.45">
      <c r="E260" t="e">
        <f>Ledger[[#This Row],[Transaction amount]]/Ledger[[#This Row],[Price]]</f>
        <v>#DIV/0!</v>
      </c>
      <c r="F260" s="21"/>
      <c r="P260" s="21"/>
      <c r="Z260" s="21"/>
      <c r="AJ260" s="21"/>
      <c r="AT260" s="21"/>
      <c r="BD260" s="21"/>
    </row>
    <row r="261" spans="5:56" x14ac:dyDescent="0.45">
      <c r="E261" t="e">
        <f>Ledger[[#This Row],[Transaction amount]]/Ledger[[#This Row],[Price]]</f>
        <v>#DIV/0!</v>
      </c>
      <c r="F261" s="21"/>
      <c r="P261" s="21"/>
      <c r="Z261" s="21"/>
      <c r="AJ261" s="21"/>
      <c r="AT261" s="21"/>
      <c r="BD261" s="21"/>
    </row>
    <row r="262" spans="5:56" x14ac:dyDescent="0.45">
      <c r="E262" t="e">
        <f>Ledger[[#This Row],[Transaction amount]]/Ledger[[#This Row],[Price]]</f>
        <v>#DIV/0!</v>
      </c>
      <c r="F262" s="21"/>
      <c r="P262" s="21"/>
      <c r="Z262" s="21"/>
      <c r="AJ262" s="21"/>
      <c r="AT262" s="21"/>
      <c r="BD262" s="21"/>
    </row>
    <row r="263" spans="5:56" x14ac:dyDescent="0.45">
      <c r="E263" t="e">
        <f>Ledger[[#This Row],[Transaction amount]]/Ledger[[#This Row],[Price]]</f>
        <v>#DIV/0!</v>
      </c>
      <c r="F263" s="21"/>
      <c r="P263" s="21"/>
      <c r="Z263" s="21"/>
      <c r="AJ263" s="21"/>
      <c r="AT263" s="21"/>
      <c r="BD263" s="21"/>
    </row>
    <row r="264" spans="5:56" x14ac:dyDescent="0.45">
      <c r="E264" t="e">
        <f>Ledger[[#This Row],[Transaction amount]]/Ledger[[#This Row],[Price]]</f>
        <v>#DIV/0!</v>
      </c>
      <c r="F264" s="21"/>
      <c r="P264" s="21"/>
      <c r="Z264" s="21"/>
      <c r="AJ264" s="21"/>
      <c r="AT264" s="21"/>
      <c r="BD264" s="21"/>
    </row>
    <row r="265" spans="5:56" x14ac:dyDescent="0.45">
      <c r="E265" t="e">
        <f>Ledger[[#This Row],[Transaction amount]]/Ledger[[#This Row],[Price]]</f>
        <v>#DIV/0!</v>
      </c>
      <c r="F265" s="21"/>
      <c r="P265" s="21"/>
      <c r="Z265" s="21"/>
      <c r="AJ265" s="21"/>
      <c r="AT265" s="21"/>
      <c r="BD265" s="21"/>
    </row>
    <row r="266" spans="5:56" x14ac:dyDescent="0.45">
      <c r="E266" t="e">
        <f>Ledger[[#This Row],[Transaction amount]]/Ledger[[#This Row],[Price]]</f>
        <v>#DIV/0!</v>
      </c>
      <c r="F266" s="21"/>
      <c r="P266" s="21"/>
      <c r="Z266" s="21"/>
      <c r="AJ266" s="21"/>
      <c r="AT266" s="21"/>
      <c r="BD266" s="21"/>
    </row>
    <row r="267" spans="5:56" x14ac:dyDescent="0.45">
      <c r="E267" t="e">
        <f>Ledger[[#This Row],[Transaction amount]]/Ledger[[#This Row],[Price]]</f>
        <v>#DIV/0!</v>
      </c>
      <c r="F267" s="21"/>
      <c r="P267" s="21"/>
      <c r="Z267" s="21"/>
      <c r="AJ267" s="21"/>
      <c r="AT267" s="21"/>
      <c r="BD267" s="21"/>
    </row>
    <row r="268" spans="5:56" x14ac:dyDescent="0.45">
      <c r="E268" t="e">
        <f>Ledger[[#This Row],[Transaction amount]]/Ledger[[#This Row],[Price]]</f>
        <v>#DIV/0!</v>
      </c>
      <c r="F268" s="21"/>
      <c r="P268" s="21"/>
      <c r="Z268" s="21"/>
      <c r="AJ268" s="21"/>
      <c r="AT268" s="21"/>
      <c r="BD268" s="21"/>
    </row>
    <row r="269" spans="5:56" x14ac:dyDescent="0.45">
      <c r="E269" t="e">
        <f>Ledger[[#This Row],[Transaction amount]]/Ledger[[#This Row],[Price]]</f>
        <v>#DIV/0!</v>
      </c>
      <c r="F269" s="21"/>
      <c r="P269" s="21"/>
      <c r="Z269" s="21"/>
      <c r="AJ269" s="21"/>
      <c r="AT269" s="21"/>
      <c r="BD269" s="21"/>
    </row>
    <row r="270" spans="5:56" x14ac:dyDescent="0.45">
      <c r="E270" t="e">
        <f>Ledger[[#This Row],[Transaction amount]]/Ledger[[#This Row],[Price]]</f>
        <v>#DIV/0!</v>
      </c>
      <c r="F270" s="21"/>
      <c r="P270" s="21"/>
      <c r="Z270" s="21"/>
      <c r="AJ270" s="21"/>
      <c r="AT270" s="21"/>
      <c r="BD270" s="21"/>
    </row>
    <row r="271" spans="5:56" x14ac:dyDescent="0.45">
      <c r="E271" t="e">
        <f>Ledger[[#This Row],[Transaction amount]]/Ledger[[#This Row],[Price]]</f>
        <v>#DIV/0!</v>
      </c>
      <c r="F271" s="21"/>
      <c r="P271" s="21"/>
      <c r="Z271" s="21"/>
      <c r="AJ271" s="21"/>
      <c r="AT271" s="21"/>
      <c r="BD271" s="21"/>
    </row>
    <row r="272" spans="5:56" x14ac:dyDescent="0.45">
      <c r="E272" t="e">
        <f>Ledger[[#This Row],[Transaction amount]]/Ledger[[#This Row],[Price]]</f>
        <v>#DIV/0!</v>
      </c>
      <c r="F272" s="21"/>
      <c r="P272" s="21"/>
      <c r="Z272" s="21"/>
      <c r="AJ272" s="21"/>
      <c r="AT272" s="21"/>
      <c r="BD272" s="21"/>
    </row>
    <row r="273" spans="5:56" x14ac:dyDescent="0.45">
      <c r="E273" t="e">
        <f>Ledger[[#This Row],[Transaction amount]]/Ledger[[#This Row],[Price]]</f>
        <v>#DIV/0!</v>
      </c>
      <c r="F273" s="21"/>
      <c r="P273" s="21"/>
      <c r="Z273" s="21"/>
      <c r="AJ273" s="21"/>
      <c r="AT273" s="21"/>
      <c r="BD273" s="21"/>
    </row>
    <row r="274" spans="5:56" x14ac:dyDescent="0.45">
      <c r="E274" t="e">
        <f>Ledger[[#This Row],[Transaction amount]]/Ledger[[#This Row],[Price]]</f>
        <v>#DIV/0!</v>
      </c>
      <c r="F274" s="21"/>
      <c r="P274" s="21"/>
      <c r="Z274" s="21"/>
      <c r="AJ274" s="21"/>
      <c r="AT274" s="21"/>
      <c r="BD274" s="21"/>
    </row>
    <row r="275" spans="5:56" x14ac:dyDescent="0.45">
      <c r="E275" t="e">
        <f>Ledger[[#This Row],[Transaction amount]]/Ledger[[#This Row],[Price]]</f>
        <v>#DIV/0!</v>
      </c>
      <c r="F275" s="21"/>
      <c r="P275" s="21"/>
      <c r="Z275" s="21"/>
      <c r="AJ275" s="21"/>
      <c r="AT275" s="21"/>
      <c r="BD275" s="21"/>
    </row>
    <row r="276" spans="5:56" x14ac:dyDescent="0.45">
      <c r="E276" t="e">
        <f>Ledger[[#This Row],[Transaction amount]]/Ledger[[#This Row],[Price]]</f>
        <v>#DIV/0!</v>
      </c>
      <c r="F276" s="21"/>
      <c r="P276" s="21"/>
      <c r="Z276" s="21"/>
      <c r="AJ276" s="21"/>
      <c r="AT276" s="21"/>
      <c r="BD276" s="21"/>
    </row>
    <row r="277" spans="5:56" x14ac:dyDescent="0.45">
      <c r="E277" t="e">
        <f>Ledger[[#This Row],[Transaction amount]]/Ledger[[#This Row],[Price]]</f>
        <v>#DIV/0!</v>
      </c>
      <c r="F277" s="21"/>
      <c r="P277" s="21"/>
      <c r="Z277" s="21"/>
      <c r="AJ277" s="21"/>
      <c r="AT277" s="21"/>
      <c r="BD277" s="21"/>
    </row>
    <row r="278" spans="5:56" x14ac:dyDescent="0.45">
      <c r="E278" t="e">
        <f>Ledger[[#This Row],[Transaction amount]]/Ledger[[#This Row],[Price]]</f>
        <v>#DIV/0!</v>
      </c>
      <c r="F278" s="21"/>
      <c r="P278" s="21"/>
      <c r="Z278" s="21"/>
      <c r="AJ278" s="21"/>
      <c r="AT278" s="21"/>
      <c r="BD278" s="21"/>
    </row>
    <row r="279" spans="5:56" x14ac:dyDescent="0.45">
      <c r="E279" t="e">
        <f>Ledger[[#This Row],[Transaction amount]]/Ledger[[#This Row],[Price]]</f>
        <v>#DIV/0!</v>
      </c>
      <c r="F279" s="21"/>
      <c r="P279" s="21"/>
      <c r="Z279" s="21"/>
      <c r="AJ279" s="21"/>
      <c r="AT279" s="21"/>
      <c r="BD279" s="21"/>
    </row>
    <row r="280" spans="5:56" x14ac:dyDescent="0.45">
      <c r="E280" t="e">
        <f>Ledger[[#This Row],[Transaction amount]]/Ledger[[#This Row],[Price]]</f>
        <v>#DIV/0!</v>
      </c>
      <c r="F280" s="21"/>
      <c r="P280" s="21"/>
      <c r="Z280" s="21"/>
      <c r="AJ280" s="21"/>
      <c r="AT280" s="21"/>
      <c r="BD280" s="21"/>
    </row>
    <row r="281" spans="5:56" x14ac:dyDescent="0.45">
      <c r="E281" t="e">
        <f>Ledger[[#This Row],[Transaction amount]]/Ledger[[#This Row],[Price]]</f>
        <v>#DIV/0!</v>
      </c>
      <c r="F281" s="21"/>
      <c r="P281" s="21"/>
      <c r="Z281" s="21"/>
      <c r="AJ281" s="21"/>
      <c r="AT281" s="21"/>
      <c r="BD281" s="21"/>
    </row>
    <row r="282" spans="5:56" x14ac:dyDescent="0.45">
      <c r="E282" t="e">
        <f>Ledger[[#This Row],[Transaction amount]]/Ledger[[#This Row],[Price]]</f>
        <v>#DIV/0!</v>
      </c>
      <c r="F282" s="21"/>
      <c r="P282" s="21"/>
      <c r="Z282" s="21"/>
      <c r="AJ282" s="21"/>
      <c r="AT282" s="21"/>
      <c r="BD282" s="21"/>
    </row>
    <row r="283" spans="5:56" x14ac:dyDescent="0.45">
      <c r="E283" t="e">
        <f>Ledger[[#This Row],[Transaction amount]]/Ledger[[#This Row],[Price]]</f>
        <v>#DIV/0!</v>
      </c>
      <c r="F283" s="21"/>
      <c r="P283" s="21"/>
      <c r="Z283" s="21"/>
      <c r="AJ283" s="21"/>
      <c r="AT283" s="21"/>
      <c r="BD283" s="21"/>
    </row>
    <row r="284" spans="5:56" x14ac:dyDescent="0.45">
      <c r="E284" t="e">
        <f>Ledger[[#This Row],[Transaction amount]]/Ledger[[#This Row],[Price]]</f>
        <v>#DIV/0!</v>
      </c>
      <c r="F284" s="21"/>
      <c r="P284" s="21"/>
      <c r="Z284" s="21"/>
      <c r="AJ284" s="21"/>
      <c r="AT284" s="21"/>
      <c r="BD284" s="21"/>
    </row>
    <row r="285" spans="5:56" x14ac:dyDescent="0.45">
      <c r="E285" t="e">
        <f>Ledger[[#This Row],[Transaction amount]]/Ledger[[#This Row],[Price]]</f>
        <v>#DIV/0!</v>
      </c>
      <c r="F285" s="21"/>
      <c r="P285" s="21"/>
      <c r="Z285" s="21"/>
      <c r="AJ285" s="21"/>
      <c r="AT285" s="21"/>
      <c r="BD285" s="21"/>
    </row>
    <row r="286" spans="5:56" x14ac:dyDescent="0.45">
      <c r="E286" t="e">
        <f>Ledger[[#This Row],[Transaction amount]]/Ledger[[#This Row],[Price]]</f>
        <v>#DIV/0!</v>
      </c>
      <c r="F286" s="21"/>
      <c r="P286" s="21"/>
      <c r="Z286" s="21"/>
      <c r="AJ286" s="21"/>
      <c r="AT286" s="21"/>
      <c r="BD286" s="21"/>
    </row>
    <row r="287" spans="5:56" x14ac:dyDescent="0.45">
      <c r="E287" t="e">
        <f>Ledger[[#This Row],[Transaction amount]]/Ledger[[#This Row],[Price]]</f>
        <v>#DIV/0!</v>
      </c>
      <c r="F287" s="21"/>
      <c r="P287" s="21"/>
      <c r="Z287" s="21"/>
      <c r="AJ287" s="21"/>
      <c r="AT287" s="21"/>
      <c r="BD287" s="21"/>
    </row>
    <row r="288" spans="5:56" x14ac:dyDescent="0.45">
      <c r="E288" t="e">
        <f>Ledger[[#This Row],[Transaction amount]]/Ledger[[#This Row],[Price]]</f>
        <v>#DIV/0!</v>
      </c>
      <c r="F288" s="21"/>
      <c r="P288" s="21"/>
      <c r="Z288" s="21"/>
      <c r="AJ288" s="21"/>
      <c r="AT288" s="21"/>
      <c r="BD288" s="21"/>
    </row>
    <row r="289" spans="5:56" x14ac:dyDescent="0.45">
      <c r="E289" t="e">
        <f>Ledger[[#This Row],[Transaction amount]]/Ledger[[#This Row],[Price]]</f>
        <v>#DIV/0!</v>
      </c>
      <c r="F289" s="21"/>
      <c r="P289" s="21"/>
      <c r="Z289" s="21"/>
      <c r="AJ289" s="21"/>
      <c r="AT289" s="21"/>
      <c r="BD289" s="21"/>
    </row>
    <row r="290" spans="5:56" x14ac:dyDescent="0.45">
      <c r="E290" t="e">
        <f>Ledger[[#This Row],[Transaction amount]]/Ledger[[#This Row],[Price]]</f>
        <v>#DIV/0!</v>
      </c>
      <c r="F290" s="21"/>
      <c r="P290" s="21"/>
      <c r="Z290" s="21"/>
      <c r="AJ290" s="21"/>
      <c r="AT290" s="21"/>
      <c r="BD290" s="21"/>
    </row>
    <row r="291" spans="5:56" x14ac:dyDescent="0.45">
      <c r="E291" t="e">
        <f>Ledger[[#This Row],[Transaction amount]]/Ledger[[#This Row],[Price]]</f>
        <v>#DIV/0!</v>
      </c>
      <c r="F291" s="21"/>
      <c r="P291" s="21"/>
      <c r="Z291" s="21"/>
      <c r="AJ291" s="21"/>
      <c r="AT291" s="21"/>
      <c r="BD291" s="21"/>
    </row>
    <row r="292" spans="5:56" x14ac:dyDescent="0.45">
      <c r="E292" t="e">
        <f>Ledger[[#This Row],[Transaction amount]]/Ledger[[#This Row],[Price]]</f>
        <v>#DIV/0!</v>
      </c>
      <c r="F292" s="21"/>
      <c r="P292" s="21"/>
      <c r="Z292" s="21"/>
      <c r="AJ292" s="21"/>
      <c r="AT292" s="21"/>
      <c r="BD292" s="21"/>
    </row>
    <row r="293" spans="5:56" x14ac:dyDescent="0.45">
      <c r="E293" t="e">
        <f>Ledger[[#This Row],[Transaction amount]]/Ledger[[#This Row],[Price]]</f>
        <v>#DIV/0!</v>
      </c>
      <c r="F293" s="21"/>
      <c r="P293" s="21"/>
      <c r="Z293" s="21"/>
      <c r="AJ293" s="21"/>
      <c r="AT293" s="21"/>
      <c r="BD293" s="21"/>
    </row>
    <row r="294" spans="5:56" x14ac:dyDescent="0.45">
      <c r="E294" t="e">
        <f>Ledger[[#This Row],[Transaction amount]]/Ledger[[#This Row],[Price]]</f>
        <v>#DIV/0!</v>
      </c>
      <c r="F294" s="21"/>
      <c r="P294" s="21"/>
      <c r="Z294" s="21"/>
      <c r="AJ294" s="21"/>
      <c r="AT294" s="21"/>
      <c r="BD294" s="21"/>
    </row>
    <row r="295" spans="5:56" x14ac:dyDescent="0.45">
      <c r="E295" t="e">
        <f>Ledger[[#This Row],[Transaction amount]]/Ledger[[#This Row],[Price]]</f>
        <v>#DIV/0!</v>
      </c>
      <c r="F295" s="21"/>
      <c r="P295" s="21"/>
      <c r="Z295" s="21"/>
      <c r="AJ295" s="21"/>
      <c r="AT295" s="21"/>
      <c r="BD295" s="21"/>
    </row>
    <row r="296" spans="5:56" x14ac:dyDescent="0.45">
      <c r="E296" t="e">
        <f>Ledger[[#This Row],[Transaction amount]]/Ledger[[#This Row],[Price]]</f>
        <v>#DIV/0!</v>
      </c>
      <c r="F296" s="21"/>
      <c r="P296" s="21"/>
      <c r="Z296" s="21"/>
      <c r="AJ296" s="21"/>
      <c r="AT296" s="21"/>
      <c r="BD296" s="21"/>
    </row>
    <row r="297" spans="5:56" x14ac:dyDescent="0.45">
      <c r="E297" t="e">
        <f>Ledger[[#This Row],[Transaction amount]]/Ledger[[#This Row],[Price]]</f>
        <v>#DIV/0!</v>
      </c>
      <c r="F297" s="21"/>
      <c r="P297" s="21"/>
      <c r="Z297" s="21"/>
      <c r="AJ297" s="21"/>
      <c r="AT297" s="21"/>
      <c r="BD297" s="21"/>
    </row>
    <row r="298" spans="5:56" x14ac:dyDescent="0.45">
      <c r="E298" t="e">
        <f>Ledger[[#This Row],[Transaction amount]]/Ledger[[#This Row],[Price]]</f>
        <v>#DIV/0!</v>
      </c>
      <c r="F298" s="21"/>
      <c r="P298" s="21"/>
      <c r="Z298" s="21"/>
      <c r="AJ298" s="21"/>
      <c r="AT298" s="21"/>
      <c r="BD298" s="21"/>
    </row>
    <row r="299" spans="5:56" x14ac:dyDescent="0.45">
      <c r="E299" t="e">
        <f>Ledger[[#This Row],[Transaction amount]]/Ledger[[#This Row],[Price]]</f>
        <v>#DIV/0!</v>
      </c>
      <c r="F299" s="21"/>
      <c r="P299" s="21"/>
      <c r="Z299" s="21"/>
      <c r="AJ299" s="21"/>
      <c r="AT299" s="21"/>
      <c r="BD299" s="21"/>
    </row>
    <row r="300" spans="5:56" x14ac:dyDescent="0.45">
      <c r="E300" t="e">
        <f>Ledger[[#This Row],[Transaction amount]]/Ledger[[#This Row],[Price]]</f>
        <v>#DIV/0!</v>
      </c>
      <c r="F300" s="21"/>
      <c r="P300" s="21"/>
      <c r="Z300" s="21"/>
      <c r="AJ300" s="21"/>
      <c r="AT300" s="21"/>
      <c r="BD300" s="21"/>
    </row>
    <row r="301" spans="5:56" x14ac:dyDescent="0.45">
      <c r="E301" t="e">
        <f>Ledger[[#This Row],[Transaction amount]]/Ledger[[#This Row],[Price]]</f>
        <v>#DIV/0!</v>
      </c>
      <c r="F301" s="21"/>
      <c r="P301" s="21"/>
      <c r="Z301" s="21"/>
      <c r="AJ301" s="21"/>
      <c r="AT301" s="21"/>
      <c r="BD301" s="21"/>
    </row>
    <row r="302" spans="5:56" x14ac:dyDescent="0.45">
      <c r="E302" t="e">
        <f>Ledger[[#This Row],[Transaction amount]]/Ledger[[#This Row],[Price]]</f>
        <v>#DIV/0!</v>
      </c>
      <c r="F302" s="21"/>
      <c r="P302" s="21"/>
      <c r="Z302" s="21"/>
      <c r="AJ302" s="21"/>
      <c r="AT302" s="21"/>
      <c r="BD302" s="21"/>
    </row>
    <row r="303" spans="5:56" x14ac:dyDescent="0.45">
      <c r="E303" t="e">
        <f>Ledger[[#This Row],[Transaction amount]]/Ledger[[#This Row],[Price]]</f>
        <v>#DIV/0!</v>
      </c>
      <c r="F303" s="21"/>
      <c r="P303" s="21"/>
      <c r="Z303" s="21"/>
      <c r="AJ303" s="21"/>
      <c r="AT303" s="21"/>
      <c r="BD303" s="21"/>
    </row>
    <row r="304" spans="5:56" x14ac:dyDescent="0.45">
      <c r="E304" t="e">
        <f>Ledger[[#This Row],[Transaction amount]]/Ledger[[#This Row],[Price]]</f>
        <v>#DIV/0!</v>
      </c>
      <c r="F304" s="21"/>
      <c r="P304" s="21"/>
      <c r="Z304" s="21"/>
      <c r="AJ304" s="21"/>
      <c r="AT304" s="21"/>
      <c r="BD304" s="21"/>
    </row>
    <row r="305" spans="5:56" x14ac:dyDescent="0.45">
      <c r="E305" t="e">
        <f>Ledger[[#This Row],[Transaction amount]]/Ledger[[#This Row],[Price]]</f>
        <v>#DIV/0!</v>
      </c>
      <c r="F305" s="21"/>
      <c r="P305" s="21"/>
      <c r="Z305" s="21"/>
      <c r="AJ305" s="21"/>
      <c r="AT305" s="21"/>
      <c r="BD305" s="21"/>
    </row>
    <row r="306" spans="5:56" x14ac:dyDescent="0.45">
      <c r="E306" t="e">
        <f>Ledger[[#This Row],[Transaction amount]]/Ledger[[#This Row],[Price]]</f>
        <v>#DIV/0!</v>
      </c>
      <c r="F306" s="21"/>
      <c r="P306" s="21"/>
      <c r="Z306" s="21"/>
      <c r="AJ306" s="21"/>
      <c r="AT306" s="21"/>
      <c r="BD306" s="21"/>
    </row>
    <row r="307" spans="5:56" x14ac:dyDescent="0.45">
      <c r="E307" t="e">
        <f>Ledger[[#This Row],[Transaction amount]]/Ledger[[#This Row],[Price]]</f>
        <v>#DIV/0!</v>
      </c>
      <c r="F307" s="21"/>
      <c r="P307" s="21"/>
      <c r="Z307" s="21"/>
      <c r="AJ307" s="21"/>
      <c r="AT307" s="21"/>
      <c r="BD307" s="21"/>
    </row>
    <row r="308" spans="5:56" x14ac:dyDescent="0.45">
      <c r="E308" t="e">
        <f>Ledger[[#This Row],[Transaction amount]]/Ledger[[#This Row],[Price]]</f>
        <v>#DIV/0!</v>
      </c>
      <c r="F308" s="21"/>
      <c r="P308" s="21"/>
      <c r="Z308" s="21"/>
      <c r="AJ308" s="21"/>
      <c r="AT308" s="21"/>
      <c r="BD308" s="21"/>
    </row>
    <row r="309" spans="5:56" x14ac:dyDescent="0.45">
      <c r="E309" t="e">
        <f>Ledger[[#This Row],[Transaction amount]]/Ledger[[#This Row],[Price]]</f>
        <v>#DIV/0!</v>
      </c>
      <c r="F309" s="21"/>
      <c r="P309" s="21"/>
      <c r="Z309" s="21"/>
      <c r="AJ309" s="21"/>
      <c r="AT309" s="21"/>
      <c r="BD309" s="21"/>
    </row>
    <row r="310" spans="5:56" x14ac:dyDescent="0.45">
      <c r="E310" t="e">
        <f>Ledger[[#This Row],[Transaction amount]]/Ledger[[#This Row],[Price]]</f>
        <v>#DIV/0!</v>
      </c>
      <c r="F310" s="21"/>
      <c r="P310" s="21"/>
      <c r="Z310" s="21"/>
      <c r="AJ310" s="21"/>
      <c r="AT310" s="21"/>
      <c r="BD310" s="21"/>
    </row>
    <row r="311" spans="5:56" x14ac:dyDescent="0.45">
      <c r="E311" t="e">
        <f>Ledger[[#This Row],[Transaction amount]]/Ledger[[#This Row],[Price]]</f>
        <v>#DIV/0!</v>
      </c>
      <c r="F311" s="21"/>
      <c r="P311" s="21"/>
      <c r="Z311" s="21"/>
      <c r="AJ311" s="21"/>
      <c r="AT311" s="21"/>
      <c r="BD311" s="21"/>
    </row>
    <row r="312" spans="5:56" x14ac:dyDescent="0.45">
      <c r="E312" t="e">
        <f>Ledger[[#This Row],[Transaction amount]]/Ledger[[#This Row],[Price]]</f>
        <v>#DIV/0!</v>
      </c>
      <c r="F312" s="21"/>
      <c r="P312" s="21"/>
      <c r="Z312" s="21"/>
      <c r="AJ312" s="21"/>
      <c r="AT312" s="21"/>
      <c r="BD312" s="21"/>
    </row>
    <row r="313" spans="5:56" x14ac:dyDescent="0.45">
      <c r="E313" t="e">
        <f>Ledger[[#This Row],[Transaction amount]]/Ledger[[#This Row],[Price]]</f>
        <v>#DIV/0!</v>
      </c>
      <c r="F313" s="21"/>
      <c r="P313" s="21"/>
      <c r="Z313" s="21"/>
      <c r="AJ313" s="21"/>
      <c r="AT313" s="21"/>
      <c r="BD313" s="21"/>
    </row>
    <row r="314" spans="5:56" x14ac:dyDescent="0.45">
      <c r="E314" t="e">
        <f>Ledger[[#This Row],[Transaction amount]]/Ledger[[#This Row],[Price]]</f>
        <v>#DIV/0!</v>
      </c>
      <c r="F314" s="21"/>
      <c r="P314" s="21"/>
      <c r="Z314" s="21"/>
      <c r="AJ314" s="21"/>
      <c r="AT314" s="21"/>
      <c r="BD314" s="21"/>
    </row>
    <row r="315" spans="5:56" x14ac:dyDescent="0.45">
      <c r="E315" t="e">
        <f>Ledger[[#This Row],[Transaction amount]]/Ledger[[#This Row],[Price]]</f>
        <v>#DIV/0!</v>
      </c>
      <c r="F315" s="21"/>
      <c r="P315" s="21"/>
      <c r="Z315" s="21"/>
      <c r="AJ315" s="21"/>
      <c r="AT315" s="21"/>
      <c r="BD315" s="21"/>
    </row>
    <row r="316" spans="5:56" x14ac:dyDescent="0.45">
      <c r="E316" t="e">
        <f>Ledger[[#This Row],[Transaction amount]]/Ledger[[#This Row],[Price]]</f>
        <v>#DIV/0!</v>
      </c>
      <c r="F316" s="21"/>
      <c r="P316" s="21"/>
      <c r="Z316" s="21"/>
      <c r="AJ316" s="21"/>
      <c r="AT316" s="21"/>
      <c r="BD316" s="21"/>
    </row>
    <row r="317" spans="5:56" x14ac:dyDescent="0.45">
      <c r="E317" t="e">
        <f>Ledger[[#This Row],[Transaction amount]]/Ledger[[#This Row],[Price]]</f>
        <v>#DIV/0!</v>
      </c>
      <c r="F317" s="21"/>
      <c r="P317" s="21"/>
      <c r="Z317" s="21"/>
      <c r="AJ317" s="21"/>
      <c r="AT317" s="21"/>
      <c r="BD317" s="21"/>
    </row>
    <row r="318" spans="5:56" x14ac:dyDescent="0.45">
      <c r="E318" t="e">
        <f>Ledger[[#This Row],[Transaction amount]]/Ledger[[#This Row],[Price]]</f>
        <v>#DIV/0!</v>
      </c>
      <c r="F318" s="21"/>
      <c r="P318" s="21"/>
      <c r="Z318" s="21"/>
      <c r="AJ318" s="21"/>
      <c r="AT318" s="21"/>
      <c r="BD318" s="21"/>
    </row>
    <row r="319" spans="5:56" x14ac:dyDescent="0.45">
      <c r="E319" t="e">
        <f>Ledger[[#This Row],[Transaction amount]]/Ledger[[#This Row],[Price]]</f>
        <v>#DIV/0!</v>
      </c>
      <c r="F319" s="21"/>
      <c r="P319" s="21"/>
      <c r="Z319" s="21"/>
      <c r="AJ319" s="21"/>
      <c r="AT319" s="21"/>
      <c r="BD319" s="21"/>
    </row>
    <row r="320" spans="5:56" x14ac:dyDescent="0.45">
      <c r="E320" t="e">
        <f>Ledger[[#This Row],[Transaction amount]]/Ledger[[#This Row],[Price]]</f>
        <v>#DIV/0!</v>
      </c>
      <c r="F320" s="21"/>
      <c r="P320" s="21"/>
      <c r="Z320" s="21"/>
      <c r="AJ320" s="21"/>
      <c r="AT320" s="21"/>
      <c r="BD320" s="21"/>
    </row>
    <row r="321" spans="5:56" x14ac:dyDescent="0.45">
      <c r="E321" t="e">
        <f>Ledger[[#This Row],[Transaction amount]]/Ledger[[#This Row],[Price]]</f>
        <v>#DIV/0!</v>
      </c>
      <c r="F321" s="21"/>
      <c r="P321" s="21"/>
      <c r="Z321" s="21"/>
      <c r="AJ321" s="21"/>
      <c r="AT321" s="21"/>
      <c r="BD321" s="21"/>
    </row>
    <row r="322" spans="5:56" x14ac:dyDescent="0.45">
      <c r="E322" t="e">
        <f>Ledger[[#This Row],[Transaction amount]]/Ledger[[#This Row],[Price]]</f>
        <v>#DIV/0!</v>
      </c>
      <c r="F322" s="21"/>
      <c r="P322" s="21"/>
      <c r="Z322" s="21"/>
      <c r="AJ322" s="21"/>
      <c r="AT322" s="21"/>
      <c r="BD322" s="21"/>
    </row>
    <row r="323" spans="5:56" x14ac:dyDescent="0.45">
      <c r="E323" t="e">
        <f>Ledger[[#This Row],[Transaction amount]]/Ledger[[#This Row],[Price]]</f>
        <v>#DIV/0!</v>
      </c>
      <c r="F323" s="21"/>
      <c r="P323" s="21"/>
      <c r="Z323" s="21"/>
      <c r="AJ323" s="21"/>
      <c r="AT323" s="21"/>
      <c r="BD323" s="21"/>
    </row>
    <row r="324" spans="5:56" x14ac:dyDescent="0.45">
      <c r="E324" t="e">
        <f>Ledger[[#This Row],[Transaction amount]]/Ledger[[#This Row],[Price]]</f>
        <v>#DIV/0!</v>
      </c>
      <c r="F324" s="21"/>
      <c r="P324" s="21"/>
      <c r="Z324" s="21"/>
      <c r="AJ324" s="21"/>
      <c r="AT324" s="21"/>
      <c r="BD324" s="21"/>
    </row>
    <row r="325" spans="5:56" x14ac:dyDescent="0.45">
      <c r="E325" t="e">
        <f>Ledger[[#This Row],[Transaction amount]]/Ledger[[#This Row],[Price]]</f>
        <v>#DIV/0!</v>
      </c>
      <c r="F325" s="21"/>
      <c r="P325" s="21"/>
      <c r="Z325" s="21"/>
      <c r="AJ325" s="21"/>
      <c r="AT325" s="21"/>
      <c r="BD325" s="21"/>
    </row>
    <row r="326" spans="5:56" x14ac:dyDescent="0.45">
      <c r="E326" t="e">
        <f>Ledger[[#This Row],[Transaction amount]]/Ledger[[#This Row],[Price]]</f>
        <v>#DIV/0!</v>
      </c>
      <c r="F326" s="21"/>
      <c r="P326" s="21"/>
      <c r="Z326" s="21"/>
      <c r="AJ326" s="21"/>
      <c r="AT326" s="21"/>
      <c r="BD326" s="21"/>
    </row>
    <row r="327" spans="5:56" x14ac:dyDescent="0.45">
      <c r="E327" t="e">
        <f>Ledger[[#This Row],[Transaction amount]]/Ledger[[#This Row],[Price]]</f>
        <v>#DIV/0!</v>
      </c>
      <c r="F327" s="21"/>
      <c r="P327" s="21"/>
      <c r="Z327" s="21"/>
      <c r="AJ327" s="21"/>
      <c r="AT327" s="21"/>
      <c r="BD327" s="21"/>
    </row>
    <row r="328" spans="5:56" x14ac:dyDescent="0.45">
      <c r="E328" t="e">
        <f>Ledger[[#This Row],[Transaction amount]]/Ledger[[#This Row],[Price]]</f>
        <v>#DIV/0!</v>
      </c>
      <c r="F328" s="21"/>
      <c r="P328" s="21"/>
      <c r="Z328" s="21"/>
      <c r="AJ328" s="21"/>
      <c r="AT328" s="21"/>
      <c r="BD328" s="21"/>
    </row>
    <row r="329" spans="5:56" x14ac:dyDescent="0.45">
      <c r="E329" t="e">
        <f>Ledger[[#This Row],[Transaction amount]]/Ledger[[#This Row],[Price]]</f>
        <v>#DIV/0!</v>
      </c>
      <c r="F329" s="21"/>
      <c r="P329" s="21"/>
      <c r="Z329" s="21"/>
      <c r="AJ329" s="21"/>
      <c r="AT329" s="21"/>
      <c r="BD329" s="21"/>
    </row>
    <row r="330" spans="5:56" x14ac:dyDescent="0.45">
      <c r="E330" t="e">
        <f>Ledger[[#This Row],[Transaction amount]]/Ledger[[#This Row],[Price]]</f>
        <v>#DIV/0!</v>
      </c>
      <c r="F330" s="21"/>
      <c r="P330" s="21"/>
      <c r="Z330" s="21"/>
      <c r="AJ330" s="21"/>
      <c r="AT330" s="21"/>
      <c r="BD330" s="21"/>
    </row>
    <row r="331" spans="5:56" x14ac:dyDescent="0.45">
      <c r="E331" t="e">
        <f>Ledger[[#This Row],[Transaction amount]]/Ledger[[#This Row],[Price]]</f>
        <v>#DIV/0!</v>
      </c>
      <c r="F331" s="21"/>
      <c r="P331" s="21"/>
      <c r="Z331" s="21"/>
      <c r="AJ331" s="21"/>
      <c r="AT331" s="21"/>
      <c r="BD331" s="21"/>
    </row>
    <row r="332" spans="5:56" x14ac:dyDescent="0.45">
      <c r="E332" t="e">
        <f>Ledger[[#This Row],[Transaction amount]]/Ledger[[#This Row],[Price]]</f>
        <v>#DIV/0!</v>
      </c>
      <c r="F332" s="21"/>
      <c r="P332" s="21"/>
      <c r="Z332" s="21"/>
      <c r="AJ332" s="21"/>
      <c r="AT332" s="21"/>
      <c r="BD332" s="21"/>
    </row>
    <row r="333" spans="5:56" x14ac:dyDescent="0.45">
      <c r="E333" t="e">
        <f>Ledger[[#This Row],[Transaction amount]]/Ledger[[#This Row],[Price]]</f>
        <v>#DIV/0!</v>
      </c>
      <c r="F333" s="21"/>
      <c r="P333" s="21"/>
      <c r="Z333" s="21"/>
      <c r="AJ333" s="21"/>
      <c r="AT333" s="21"/>
      <c r="BD333" s="21"/>
    </row>
    <row r="334" spans="5:56" x14ac:dyDescent="0.45">
      <c r="E334" t="e">
        <f>Ledger[[#This Row],[Transaction amount]]/Ledger[[#This Row],[Price]]</f>
        <v>#DIV/0!</v>
      </c>
      <c r="F334" s="21"/>
      <c r="P334" s="21"/>
      <c r="Z334" s="21"/>
      <c r="AJ334" s="21"/>
      <c r="AT334" s="21"/>
      <c r="BD334" s="21"/>
    </row>
    <row r="335" spans="5:56" x14ac:dyDescent="0.45">
      <c r="E335" t="e">
        <f>Ledger[[#This Row],[Transaction amount]]/Ledger[[#This Row],[Price]]</f>
        <v>#DIV/0!</v>
      </c>
      <c r="F335" s="21"/>
      <c r="P335" s="21"/>
      <c r="Z335" s="21"/>
      <c r="AJ335" s="21"/>
      <c r="AT335" s="21"/>
      <c r="BD335" s="21"/>
    </row>
    <row r="336" spans="5:56" x14ac:dyDescent="0.45">
      <c r="E336" t="e">
        <f>Ledger[[#This Row],[Transaction amount]]/Ledger[[#This Row],[Price]]</f>
        <v>#DIV/0!</v>
      </c>
      <c r="F336" s="21"/>
      <c r="P336" s="21"/>
      <c r="Z336" s="21"/>
      <c r="AJ336" s="21"/>
      <c r="AT336" s="21"/>
      <c r="BD336" s="21"/>
    </row>
    <row r="337" spans="5:56" x14ac:dyDescent="0.45">
      <c r="E337" t="e">
        <f>Ledger[[#This Row],[Transaction amount]]/Ledger[[#This Row],[Price]]</f>
        <v>#DIV/0!</v>
      </c>
      <c r="F337" s="21"/>
      <c r="P337" s="21"/>
      <c r="Z337" s="21"/>
      <c r="AJ337" s="21"/>
      <c r="AT337" s="21"/>
      <c r="BD337" s="21"/>
    </row>
    <row r="338" spans="5:56" x14ac:dyDescent="0.45">
      <c r="E338" t="e">
        <f>Ledger[[#This Row],[Transaction amount]]/Ledger[[#This Row],[Price]]</f>
        <v>#DIV/0!</v>
      </c>
      <c r="F338" s="21"/>
      <c r="P338" s="21"/>
      <c r="Z338" s="21"/>
      <c r="AJ338" s="21"/>
      <c r="AT338" s="21"/>
      <c r="BD338" s="21"/>
    </row>
    <row r="339" spans="5:56" x14ac:dyDescent="0.45">
      <c r="E339" t="e">
        <f>Ledger[[#This Row],[Transaction amount]]/Ledger[[#This Row],[Price]]</f>
        <v>#DIV/0!</v>
      </c>
      <c r="F339" s="21"/>
      <c r="P339" s="21"/>
      <c r="Z339" s="21"/>
      <c r="AJ339" s="21"/>
      <c r="AT339" s="21"/>
      <c r="BD339" s="21"/>
    </row>
    <row r="340" spans="5:56" x14ac:dyDescent="0.45">
      <c r="E340" t="e">
        <f>Ledger[[#This Row],[Transaction amount]]/Ledger[[#This Row],[Price]]</f>
        <v>#DIV/0!</v>
      </c>
      <c r="F340" s="21"/>
      <c r="P340" s="21"/>
      <c r="Z340" s="21"/>
      <c r="AJ340" s="21"/>
      <c r="AT340" s="21"/>
      <c r="BD340" s="21"/>
    </row>
    <row r="341" spans="5:56" x14ac:dyDescent="0.45">
      <c r="E341" t="e">
        <f>Ledger[[#This Row],[Transaction amount]]/Ledger[[#This Row],[Price]]</f>
        <v>#DIV/0!</v>
      </c>
      <c r="F341" s="21"/>
      <c r="P341" s="21"/>
      <c r="Z341" s="21"/>
      <c r="AJ341" s="21"/>
      <c r="AT341" s="21"/>
      <c r="BD341" s="21"/>
    </row>
    <row r="342" spans="5:56" x14ac:dyDescent="0.45">
      <c r="E342" t="e">
        <f>Ledger[[#This Row],[Transaction amount]]/Ledger[[#This Row],[Price]]</f>
        <v>#DIV/0!</v>
      </c>
      <c r="F342" s="21"/>
      <c r="P342" s="21"/>
      <c r="Z342" s="21"/>
      <c r="AJ342" s="21"/>
      <c r="AT342" s="21"/>
      <c r="BD342" s="21"/>
    </row>
    <row r="343" spans="5:56" x14ac:dyDescent="0.45">
      <c r="E343" t="e">
        <f>Ledger[[#This Row],[Transaction amount]]/Ledger[[#This Row],[Price]]</f>
        <v>#DIV/0!</v>
      </c>
      <c r="F343" s="21"/>
      <c r="P343" s="21"/>
      <c r="Z343" s="21"/>
      <c r="AJ343" s="21"/>
      <c r="AT343" s="21"/>
      <c r="BD343" s="21"/>
    </row>
    <row r="344" spans="5:56" x14ac:dyDescent="0.45">
      <c r="E344" t="e">
        <f>Ledger[[#This Row],[Transaction amount]]/Ledger[[#This Row],[Price]]</f>
        <v>#DIV/0!</v>
      </c>
      <c r="F344" s="21"/>
      <c r="P344" s="21"/>
      <c r="Z344" s="21"/>
      <c r="AJ344" s="21"/>
      <c r="AT344" s="21"/>
      <c r="BD344" s="21"/>
    </row>
    <row r="345" spans="5:56" x14ac:dyDescent="0.45">
      <c r="E345" t="e">
        <f>Ledger[[#This Row],[Transaction amount]]/Ledger[[#This Row],[Price]]</f>
        <v>#DIV/0!</v>
      </c>
      <c r="F345" s="21"/>
      <c r="P345" s="21"/>
      <c r="Z345" s="21"/>
      <c r="AJ345" s="21"/>
      <c r="AT345" s="21"/>
      <c r="BD345" s="21"/>
    </row>
    <row r="346" spans="5:56" x14ac:dyDescent="0.45">
      <c r="E346" t="e">
        <f>Ledger[[#This Row],[Transaction amount]]/Ledger[[#This Row],[Price]]</f>
        <v>#DIV/0!</v>
      </c>
      <c r="F346" s="21"/>
      <c r="P346" s="21"/>
      <c r="Z346" s="21"/>
      <c r="AJ346" s="21"/>
      <c r="AT346" s="21"/>
      <c r="BD346" s="21"/>
    </row>
    <row r="347" spans="5:56" x14ac:dyDescent="0.45">
      <c r="E347" t="e">
        <f>Ledger[[#This Row],[Transaction amount]]/Ledger[[#This Row],[Price]]</f>
        <v>#DIV/0!</v>
      </c>
      <c r="F347" s="21"/>
      <c r="P347" s="21"/>
      <c r="Z347" s="21"/>
      <c r="AJ347" s="21"/>
      <c r="AT347" s="21"/>
      <c r="BD347" s="21"/>
    </row>
    <row r="348" spans="5:56" x14ac:dyDescent="0.45">
      <c r="E348" t="e">
        <f>Ledger[[#This Row],[Transaction amount]]/Ledger[[#This Row],[Price]]</f>
        <v>#DIV/0!</v>
      </c>
      <c r="F348" s="21"/>
      <c r="P348" s="21"/>
      <c r="Z348" s="21"/>
      <c r="AJ348" s="21"/>
      <c r="AT348" s="21"/>
      <c r="BD348" s="21"/>
    </row>
    <row r="349" spans="5:56" x14ac:dyDescent="0.45">
      <c r="E349" t="e">
        <f>Ledger[[#This Row],[Transaction amount]]/Ledger[[#This Row],[Price]]</f>
        <v>#DIV/0!</v>
      </c>
      <c r="F349" s="21"/>
      <c r="P349" s="21"/>
      <c r="Z349" s="21"/>
      <c r="AJ349" s="21"/>
      <c r="AT349" s="21"/>
      <c r="BD349" s="21"/>
    </row>
    <row r="350" spans="5:56" x14ac:dyDescent="0.45">
      <c r="E350" t="e">
        <f>Ledger[[#This Row],[Transaction amount]]/Ledger[[#This Row],[Price]]</f>
        <v>#DIV/0!</v>
      </c>
      <c r="F350" s="21"/>
      <c r="P350" s="21"/>
      <c r="Z350" s="21"/>
      <c r="AJ350" s="21"/>
      <c r="AT350" s="21"/>
      <c r="BD350" s="21"/>
    </row>
    <row r="351" spans="5:56" x14ac:dyDescent="0.45">
      <c r="E351" t="e">
        <f>Ledger[[#This Row],[Transaction amount]]/Ledger[[#This Row],[Price]]</f>
        <v>#DIV/0!</v>
      </c>
      <c r="F351" s="21"/>
      <c r="P351" s="21"/>
      <c r="Z351" s="21"/>
      <c r="AJ351" s="21"/>
      <c r="AT351" s="21"/>
      <c r="BD351" s="21"/>
    </row>
    <row r="352" spans="5:56" x14ac:dyDescent="0.45">
      <c r="E352" t="e">
        <f>Ledger[[#This Row],[Transaction amount]]/Ledger[[#This Row],[Price]]</f>
        <v>#DIV/0!</v>
      </c>
      <c r="F352" s="21"/>
      <c r="P352" s="21"/>
      <c r="Z352" s="21"/>
      <c r="AJ352" s="21"/>
      <c r="AT352" s="21"/>
      <c r="BD352" s="21"/>
    </row>
    <row r="353" spans="5:56" x14ac:dyDescent="0.45">
      <c r="E353" t="e">
        <f>Ledger[[#This Row],[Transaction amount]]/Ledger[[#This Row],[Price]]</f>
        <v>#DIV/0!</v>
      </c>
      <c r="F353" s="21"/>
      <c r="P353" s="21"/>
      <c r="Z353" s="21"/>
      <c r="AJ353" s="21"/>
      <c r="AT353" s="21"/>
      <c r="BD353" s="21"/>
    </row>
    <row r="354" spans="5:56" x14ac:dyDescent="0.45">
      <c r="E354" t="e">
        <f>Ledger[[#This Row],[Transaction amount]]/Ledger[[#This Row],[Price]]</f>
        <v>#DIV/0!</v>
      </c>
      <c r="F354" s="21"/>
      <c r="P354" s="21"/>
      <c r="Z354" s="21"/>
      <c r="AJ354" s="21"/>
      <c r="AT354" s="21"/>
      <c r="BD354" s="21"/>
    </row>
    <row r="355" spans="5:56" x14ac:dyDescent="0.45">
      <c r="E355" t="e">
        <f>Ledger[[#This Row],[Transaction amount]]/Ledger[[#This Row],[Price]]</f>
        <v>#DIV/0!</v>
      </c>
      <c r="F355" s="21"/>
      <c r="P355" s="21"/>
      <c r="Z355" s="21"/>
      <c r="AJ355" s="21"/>
      <c r="AT355" s="21"/>
      <c r="BD355" s="21"/>
    </row>
    <row r="356" spans="5:56" x14ac:dyDescent="0.45">
      <c r="E356" t="e">
        <f>Ledger[[#This Row],[Transaction amount]]/Ledger[[#This Row],[Price]]</f>
        <v>#DIV/0!</v>
      </c>
      <c r="F356" s="21"/>
      <c r="P356" s="21"/>
      <c r="Z356" s="21"/>
      <c r="AJ356" s="21"/>
      <c r="AT356" s="21"/>
      <c r="BD356" s="21"/>
    </row>
    <row r="357" spans="5:56" x14ac:dyDescent="0.45">
      <c r="E357" t="e">
        <f>Ledger[[#This Row],[Transaction amount]]/Ledger[[#This Row],[Price]]</f>
        <v>#DIV/0!</v>
      </c>
      <c r="F357" s="21"/>
      <c r="P357" s="21"/>
      <c r="Z357" s="21"/>
      <c r="AJ357" s="21"/>
      <c r="AT357" s="21"/>
      <c r="BD357" s="21"/>
    </row>
    <row r="358" spans="5:56" x14ac:dyDescent="0.45">
      <c r="E358" t="e">
        <f>Ledger[[#This Row],[Transaction amount]]/Ledger[[#This Row],[Price]]</f>
        <v>#DIV/0!</v>
      </c>
      <c r="F358" s="21"/>
      <c r="P358" s="21"/>
      <c r="Z358" s="21"/>
      <c r="AJ358" s="21"/>
      <c r="AT358" s="21"/>
      <c r="BD358" s="21"/>
    </row>
    <row r="359" spans="5:56" x14ac:dyDescent="0.45">
      <c r="E359" t="e">
        <f>Ledger[[#This Row],[Transaction amount]]/Ledger[[#This Row],[Price]]</f>
        <v>#DIV/0!</v>
      </c>
      <c r="F359" s="21"/>
      <c r="P359" s="21"/>
      <c r="Z359" s="21"/>
      <c r="AJ359" s="21"/>
      <c r="AT359" s="21"/>
      <c r="BD359" s="21"/>
    </row>
    <row r="360" spans="5:56" x14ac:dyDescent="0.45">
      <c r="E360" t="e">
        <f>Ledger[[#This Row],[Transaction amount]]/Ledger[[#This Row],[Price]]</f>
        <v>#DIV/0!</v>
      </c>
      <c r="F360" s="21"/>
      <c r="P360" s="21"/>
      <c r="Z360" s="21"/>
      <c r="AJ360" s="21"/>
      <c r="AT360" s="21"/>
      <c r="BD360" s="21"/>
    </row>
    <row r="361" spans="5:56" x14ac:dyDescent="0.45">
      <c r="E361" t="e">
        <f>Ledger[[#This Row],[Transaction amount]]/Ledger[[#This Row],[Price]]</f>
        <v>#DIV/0!</v>
      </c>
      <c r="F361" s="21"/>
      <c r="P361" s="21"/>
      <c r="Z361" s="21"/>
      <c r="AJ361" s="21"/>
      <c r="AT361" s="21"/>
      <c r="BD361" s="21"/>
    </row>
    <row r="362" spans="5:56" x14ac:dyDescent="0.45">
      <c r="E362" t="e">
        <f>Ledger[[#This Row],[Transaction amount]]/Ledger[[#This Row],[Price]]</f>
        <v>#DIV/0!</v>
      </c>
      <c r="F362" s="21"/>
      <c r="P362" s="21"/>
      <c r="Z362" s="21"/>
      <c r="AJ362" s="21"/>
      <c r="AT362" s="21"/>
      <c r="BD362" s="21"/>
    </row>
    <row r="363" spans="5:56" x14ac:dyDescent="0.45">
      <c r="E363" t="e">
        <f>Ledger[[#This Row],[Transaction amount]]/Ledger[[#This Row],[Price]]</f>
        <v>#DIV/0!</v>
      </c>
      <c r="F363" s="21"/>
      <c r="P363" s="21"/>
      <c r="Z363" s="21"/>
      <c r="AJ363" s="21"/>
      <c r="AT363" s="21"/>
      <c r="BD363" s="21"/>
    </row>
    <row r="364" spans="5:56" x14ac:dyDescent="0.45">
      <c r="E364" t="e">
        <f>Ledger[[#This Row],[Transaction amount]]/Ledger[[#This Row],[Price]]</f>
        <v>#DIV/0!</v>
      </c>
      <c r="F364" s="21"/>
      <c r="P364" s="21"/>
      <c r="Z364" s="21"/>
      <c r="AJ364" s="21"/>
      <c r="AT364" s="21"/>
      <c r="BD364" s="21"/>
    </row>
    <row r="365" spans="5:56" x14ac:dyDescent="0.45">
      <c r="E365" t="e">
        <f>Ledger[[#This Row],[Transaction amount]]/Ledger[[#This Row],[Price]]</f>
        <v>#DIV/0!</v>
      </c>
      <c r="F365" s="21"/>
      <c r="P365" s="21"/>
      <c r="Z365" s="21"/>
      <c r="AJ365" s="21"/>
      <c r="AT365" s="21"/>
      <c r="BD365" s="21"/>
    </row>
    <row r="366" spans="5:56" x14ac:dyDescent="0.45">
      <c r="E366" t="e">
        <f>Ledger[[#This Row],[Transaction amount]]/Ledger[[#This Row],[Price]]</f>
        <v>#DIV/0!</v>
      </c>
      <c r="F366" s="21"/>
      <c r="P366" s="21"/>
      <c r="Z366" s="21"/>
      <c r="AJ366" s="21"/>
      <c r="AT366" s="21"/>
      <c r="BD366" s="21"/>
    </row>
    <row r="367" spans="5:56" x14ac:dyDescent="0.45">
      <c r="E367" t="e">
        <f>Ledger[[#This Row],[Transaction amount]]/Ledger[[#This Row],[Price]]</f>
        <v>#DIV/0!</v>
      </c>
      <c r="F367" s="21"/>
      <c r="P367" s="21"/>
      <c r="Z367" s="21"/>
      <c r="AJ367" s="21"/>
      <c r="AT367" s="21"/>
      <c r="BD367" s="21"/>
    </row>
    <row r="368" spans="5:56" x14ac:dyDescent="0.45">
      <c r="E368" t="e">
        <f>Ledger[[#This Row],[Transaction amount]]/Ledger[[#This Row],[Price]]</f>
        <v>#DIV/0!</v>
      </c>
      <c r="F368" s="21"/>
      <c r="P368" s="21"/>
      <c r="Z368" s="21"/>
      <c r="AJ368" s="21"/>
      <c r="AT368" s="21"/>
      <c r="BD368" s="21"/>
    </row>
    <row r="369" spans="5:56" x14ac:dyDescent="0.45">
      <c r="E369" t="e">
        <f>Ledger[[#This Row],[Transaction amount]]/Ledger[[#This Row],[Price]]</f>
        <v>#DIV/0!</v>
      </c>
      <c r="F369" s="21"/>
      <c r="P369" s="21"/>
      <c r="Z369" s="21"/>
      <c r="AJ369" s="21"/>
      <c r="AT369" s="21"/>
      <c r="BD369" s="21"/>
    </row>
    <row r="370" spans="5:56" x14ac:dyDescent="0.45">
      <c r="E370" t="e">
        <f>Ledger[[#This Row],[Transaction amount]]/Ledger[[#This Row],[Price]]</f>
        <v>#DIV/0!</v>
      </c>
      <c r="F370" s="21"/>
      <c r="P370" s="21"/>
      <c r="Z370" s="21"/>
      <c r="AJ370" s="21"/>
      <c r="AT370" s="21"/>
      <c r="BD370" s="21"/>
    </row>
    <row r="371" spans="5:56" x14ac:dyDescent="0.45">
      <c r="E371" t="e">
        <f>Ledger[[#This Row],[Transaction amount]]/Ledger[[#This Row],[Price]]</f>
        <v>#DIV/0!</v>
      </c>
      <c r="F371" s="21"/>
      <c r="P371" s="21"/>
      <c r="Z371" s="21"/>
      <c r="AJ371" s="21"/>
      <c r="AT371" s="21"/>
      <c r="BD371" s="21"/>
    </row>
    <row r="372" spans="5:56" x14ac:dyDescent="0.45">
      <c r="E372" t="e">
        <f>Ledger[[#This Row],[Transaction amount]]/Ledger[[#This Row],[Price]]</f>
        <v>#DIV/0!</v>
      </c>
      <c r="F372" s="21"/>
      <c r="P372" s="21"/>
      <c r="Z372" s="21"/>
      <c r="AJ372" s="21"/>
      <c r="AT372" s="21"/>
      <c r="BD372" s="21"/>
    </row>
    <row r="373" spans="5:56" x14ac:dyDescent="0.45">
      <c r="E373" t="e">
        <f>Ledger[[#This Row],[Transaction amount]]/Ledger[[#This Row],[Price]]</f>
        <v>#DIV/0!</v>
      </c>
      <c r="F373" s="21"/>
      <c r="P373" s="21"/>
      <c r="Z373" s="21"/>
      <c r="AJ373" s="21"/>
      <c r="AT373" s="21"/>
      <c r="BD373" s="21"/>
    </row>
    <row r="374" spans="5:56" x14ac:dyDescent="0.45">
      <c r="E374" t="e">
        <f>Ledger[[#This Row],[Transaction amount]]/Ledger[[#This Row],[Price]]</f>
        <v>#DIV/0!</v>
      </c>
      <c r="F374" s="21"/>
      <c r="P374" s="21"/>
      <c r="Z374" s="21"/>
      <c r="AJ374" s="21"/>
      <c r="AT374" s="21"/>
      <c r="BD374" s="21"/>
    </row>
    <row r="375" spans="5:56" x14ac:dyDescent="0.45">
      <c r="E375" t="e">
        <f>Ledger[[#This Row],[Transaction amount]]/Ledger[[#This Row],[Price]]</f>
        <v>#DIV/0!</v>
      </c>
      <c r="F375" s="21"/>
      <c r="P375" s="21"/>
      <c r="Z375" s="21"/>
      <c r="AJ375" s="21"/>
      <c r="AT375" s="21"/>
      <c r="BD375" s="21"/>
    </row>
    <row r="376" spans="5:56" x14ac:dyDescent="0.45">
      <c r="E376" t="e">
        <f>Ledger[[#This Row],[Transaction amount]]/Ledger[[#This Row],[Price]]</f>
        <v>#DIV/0!</v>
      </c>
      <c r="F376" s="21"/>
      <c r="P376" s="21"/>
      <c r="Z376" s="21"/>
      <c r="AJ376" s="21"/>
      <c r="AT376" s="21"/>
      <c r="BD376" s="21"/>
    </row>
    <row r="377" spans="5:56" x14ac:dyDescent="0.45">
      <c r="E377" t="e">
        <f>Ledger[[#This Row],[Transaction amount]]/Ledger[[#This Row],[Price]]</f>
        <v>#DIV/0!</v>
      </c>
      <c r="F377" s="21"/>
      <c r="P377" s="21"/>
      <c r="Z377" s="21"/>
      <c r="AJ377" s="21"/>
      <c r="AT377" s="21"/>
      <c r="BD377" s="21"/>
    </row>
    <row r="378" spans="5:56" x14ac:dyDescent="0.45">
      <c r="E378" t="e">
        <f>Ledger[[#This Row],[Transaction amount]]/Ledger[[#This Row],[Price]]</f>
        <v>#DIV/0!</v>
      </c>
      <c r="F378" s="21"/>
      <c r="P378" s="21"/>
      <c r="Z378" s="21"/>
      <c r="AJ378" s="21"/>
      <c r="AT378" s="21"/>
      <c r="BD378" s="21"/>
    </row>
    <row r="379" spans="5:56" x14ac:dyDescent="0.45">
      <c r="E379" t="e">
        <f>Ledger[[#This Row],[Transaction amount]]/Ledger[[#This Row],[Price]]</f>
        <v>#DIV/0!</v>
      </c>
      <c r="F379" s="21"/>
      <c r="P379" s="21"/>
      <c r="Z379" s="21"/>
      <c r="AJ379" s="21"/>
      <c r="AT379" s="21"/>
      <c r="BD379" s="21"/>
    </row>
    <row r="380" spans="5:56" x14ac:dyDescent="0.45">
      <c r="E380" t="e">
        <f>Ledger[[#This Row],[Transaction amount]]/Ledger[[#This Row],[Price]]</f>
        <v>#DIV/0!</v>
      </c>
      <c r="F380" s="21"/>
      <c r="P380" s="21"/>
      <c r="Z380" s="21"/>
      <c r="AJ380" s="21"/>
      <c r="AT380" s="21"/>
      <c r="BD380" s="21"/>
    </row>
    <row r="381" spans="5:56" x14ac:dyDescent="0.45">
      <c r="E381" t="e">
        <f>Ledger[[#This Row],[Transaction amount]]/Ledger[[#This Row],[Price]]</f>
        <v>#DIV/0!</v>
      </c>
      <c r="F381" s="21"/>
      <c r="P381" s="21"/>
      <c r="Z381" s="21"/>
      <c r="AJ381" s="21"/>
      <c r="AT381" s="21"/>
      <c r="BD381" s="21"/>
    </row>
    <row r="382" spans="5:56" x14ac:dyDescent="0.45">
      <c r="E382" t="e">
        <f>Ledger[[#This Row],[Transaction amount]]/Ledger[[#This Row],[Price]]</f>
        <v>#DIV/0!</v>
      </c>
      <c r="F382" s="21"/>
      <c r="P382" s="21"/>
      <c r="Z382" s="21"/>
      <c r="AJ382" s="21"/>
      <c r="AT382" s="21"/>
      <c r="BD382" s="21"/>
    </row>
    <row r="383" spans="5:56" x14ac:dyDescent="0.45">
      <c r="E383" t="e">
        <f>Ledger[[#This Row],[Transaction amount]]/Ledger[[#This Row],[Price]]</f>
        <v>#DIV/0!</v>
      </c>
      <c r="F383" s="21"/>
      <c r="P383" s="21"/>
      <c r="Z383" s="21"/>
      <c r="AJ383" s="21"/>
      <c r="AT383" s="21"/>
      <c r="BD383" s="21"/>
    </row>
    <row r="384" spans="5:56" x14ac:dyDescent="0.45">
      <c r="E384" t="e">
        <f>Ledger[[#This Row],[Transaction amount]]/Ledger[[#This Row],[Price]]</f>
        <v>#DIV/0!</v>
      </c>
      <c r="F384" s="21"/>
      <c r="P384" s="21"/>
      <c r="Z384" s="21"/>
      <c r="AJ384" s="21"/>
      <c r="AT384" s="21"/>
      <c r="BD384" s="21"/>
    </row>
    <row r="385" spans="5:56" x14ac:dyDescent="0.45">
      <c r="E385" t="e">
        <f>Ledger[[#This Row],[Transaction amount]]/Ledger[[#This Row],[Price]]</f>
        <v>#DIV/0!</v>
      </c>
      <c r="F385" s="21"/>
      <c r="P385" s="21"/>
      <c r="Z385" s="21"/>
      <c r="AJ385" s="21"/>
      <c r="AT385" s="21"/>
      <c r="BD385" s="21"/>
    </row>
    <row r="386" spans="5:56" x14ac:dyDescent="0.45">
      <c r="E386" t="e">
        <f>Ledger[[#This Row],[Transaction amount]]/Ledger[[#This Row],[Price]]</f>
        <v>#DIV/0!</v>
      </c>
      <c r="F386" s="21"/>
      <c r="P386" s="21"/>
      <c r="Z386" s="21"/>
      <c r="AJ386" s="21"/>
      <c r="AT386" s="21"/>
      <c r="BD386" s="21"/>
    </row>
    <row r="387" spans="5:56" x14ac:dyDescent="0.45">
      <c r="E387" t="e">
        <f>Ledger[[#This Row],[Transaction amount]]/Ledger[[#This Row],[Price]]</f>
        <v>#DIV/0!</v>
      </c>
      <c r="F387" s="21"/>
      <c r="P387" s="21"/>
      <c r="Z387" s="21"/>
      <c r="AJ387" s="21"/>
      <c r="AT387" s="21"/>
      <c r="BD387" s="21"/>
    </row>
    <row r="388" spans="5:56" x14ac:dyDescent="0.45">
      <c r="E388" t="e">
        <f>Ledger[[#This Row],[Transaction amount]]/Ledger[[#This Row],[Price]]</f>
        <v>#DIV/0!</v>
      </c>
      <c r="F388" s="21"/>
      <c r="P388" s="21"/>
      <c r="Z388" s="21"/>
      <c r="AJ388" s="21"/>
      <c r="AT388" s="21"/>
      <c r="BD388" s="21"/>
    </row>
    <row r="389" spans="5:56" x14ac:dyDescent="0.45">
      <c r="E389" t="e">
        <f>Ledger[[#This Row],[Transaction amount]]/Ledger[[#This Row],[Price]]</f>
        <v>#DIV/0!</v>
      </c>
      <c r="F389" s="21"/>
      <c r="P389" s="21"/>
      <c r="Z389" s="21"/>
      <c r="AJ389" s="21"/>
      <c r="AT389" s="21"/>
      <c r="BD389" s="21"/>
    </row>
    <row r="390" spans="5:56" x14ac:dyDescent="0.45">
      <c r="E390" t="e">
        <f>Ledger[[#This Row],[Transaction amount]]/Ledger[[#This Row],[Price]]</f>
        <v>#DIV/0!</v>
      </c>
      <c r="F390" s="21"/>
      <c r="P390" s="21"/>
      <c r="Z390" s="21"/>
      <c r="AJ390" s="21"/>
      <c r="AT390" s="21"/>
      <c r="BD390" s="21"/>
    </row>
    <row r="391" spans="5:56" x14ac:dyDescent="0.45">
      <c r="E391" t="e">
        <f>Ledger[[#This Row],[Transaction amount]]/Ledger[[#This Row],[Price]]</f>
        <v>#DIV/0!</v>
      </c>
      <c r="F391" s="21"/>
      <c r="P391" s="21"/>
      <c r="Z391" s="21"/>
      <c r="AJ391" s="21"/>
      <c r="AT391" s="21"/>
      <c r="BD391" s="21"/>
    </row>
    <row r="392" spans="5:56" x14ac:dyDescent="0.45">
      <c r="E392" t="e">
        <f>Ledger[[#This Row],[Transaction amount]]/Ledger[[#This Row],[Price]]</f>
        <v>#DIV/0!</v>
      </c>
      <c r="F392" s="21"/>
      <c r="P392" s="21"/>
      <c r="Z392" s="21"/>
      <c r="AJ392" s="21"/>
      <c r="AT392" s="21"/>
      <c r="BD392" s="21"/>
    </row>
    <row r="393" spans="5:56" x14ac:dyDescent="0.45">
      <c r="E393" t="e">
        <f>Ledger[[#This Row],[Transaction amount]]/Ledger[[#This Row],[Price]]</f>
        <v>#DIV/0!</v>
      </c>
      <c r="F393" s="21"/>
      <c r="P393" s="21"/>
      <c r="Z393" s="21"/>
      <c r="AJ393" s="21"/>
      <c r="AT393" s="21"/>
      <c r="BD393" s="21"/>
    </row>
    <row r="394" spans="5:56" x14ac:dyDescent="0.45">
      <c r="E394" t="e">
        <f>Ledger[[#This Row],[Transaction amount]]/Ledger[[#This Row],[Price]]</f>
        <v>#DIV/0!</v>
      </c>
      <c r="F394" s="21"/>
      <c r="P394" s="21"/>
      <c r="Z394" s="21"/>
      <c r="AJ394" s="21"/>
      <c r="AT394" s="21"/>
      <c r="BD394" s="21"/>
    </row>
    <row r="395" spans="5:56" x14ac:dyDescent="0.45">
      <c r="E395" t="e">
        <f>Ledger[[#This Row],[Transaction amount]]/Ledger[[#This Row],[Price]]</f>
        <v>#DIV/0!</v>
      </c>
      <c r="F395" s="21"/>
      <c r="P395" s="21"/>
      <c r="Z395" s="21"/>
      <c r="AJ395" s="21"/>
      <c r="AT395" s="21"/>
      <c r="BD395" s="21"/>
    </row>
    <row r="396" spans="5:56" x14ac:dyDescent="0.45">
      <c r="E396" t="e">
        <f>Ledger[[#This Row],[Transaction amount]]/Ledger[[#This Row],[Price]]</f>
        <v>#DIV/0!</v>
      </c>
      <c r="F396" s="21"/>
      <c r="P396" s="21"/>
      <c r="Z396" s="21"/>
      <c r="AJ396" s="21"/>
      <c r="AT396" s="21"/>
      <c r="BD396" s="21"/>
    </row>
    <row r="397" spans="5:56" x14ac:dyDescent="0.45">
      <c r="E397" t="e">
        <f>Ledger[[#This Row],[Transaction amount]]/Ledger[[#This Row],[Price]]</f>
        <v>#DIV/0!</v>
      </c>
      <c r="F397" s="21"/>
      <c r="P397" s="21"/>
      <c r="Z397" s="21"/>
      <c r="AJ397" s="21"/>
      <c r="AT397" s="21"/>
      <c r="BD397" s="21"/>
    </row>
    <row r="398" spans="5:56" x14ac:dyDescent="0.45">
      <c r="E398" t="e">
        <f>Ledger[[#This Row],[Transaction amount]]/Ledger[[#This Row],[Price]]</f>
        <v>#DIV/0!</v>
      </c>
      <c r="F398" s="21"/>
      <c r="P398" s="21"/>
      <c r="Z398" s="21"/>
      <c r="AJ398" s="21"/>
      <c r="AT398" s="21"/>
      <c r="BD398" s="21"/>
    </row>
    <row r="399" spans="5:56" x14ac:dyDescent="0.45">
      <c r="E399" t="e">
        <f>Ledger[[#This Row],[Transaction amount]]/Ledger[[#This Row],[Price]]</f>
        <v>#DIV/0!</v>
      </c>
      <c r="F399" s="21"/>
      <c r="P399" s="21"/>
      <c r="Z399" s="21"/>
      <c r="AJ399" s="21"/>
      <c r="AT399" s="21"/>
      <c r="BD399" s="21"/>
    </row>
    <row r="400" spans="5:56" x14ac:dyDescent="0.45">
      <c r="E400" t="e">
        <f>Ledger[[#This Row],[Transaction amount]]/Ledger[[#This Row],[Price]]</f>
        <v>#DIV/0!</v>
      </c>
      <c r="F400" s="21"/>
      <c r="P400" s="21"/>
      <c r="Z400" s="21"/>
      <c r="AJ400" s="21"/>
      <c r="AT400" s="21"/>
      <c r="BD400" s="21"/>
    </row>
    <row r="401" spans="5:56" x14ac:dyDescent="0.45">
      <c r="E401" t="e">
        <f>Ledger[[#This Row],[Transaction amount]]/Ledger[[#This Row],[Price]]</f>
        <v>#DIV/0!</v>
      </c>
      <c r="F401" s="21"/>
      <c r="P401" s="21"/>
      <c r="Z401" s="21"/>
      <c r="AJ401" s="21"/>
      <c r="AT401" s="21"/>
      <c r="BD401" s="21"/>
    </row>
    <row r="402" spans="5:56" x14ac:dyDescent="0.45">
      <c r="E402" t="e">
        <f>Ledger[[#This Row],[Transaction amount]]/Ledger[[#This Row],[Price]]</f>
        <v>#DIV/0!</v>
      </c>
      <c r="F402" s="21"/>
      <c r="P402" s="21"/>
      <c r="Z402" s="21"/>
      <c r="AJ402" s="21"/>
      <c r="AT402" s="21"/>
      <c r="BD402" s="21"/>
    </row>
    <row r="403" spans="5:56" x14ac:dyDescent="0.45">
      <c r="E403" t="e">
        <f>Ledger[[#This Row],[Transaction amount]]/Ledger[[#This Row],[Price]]</f>
        <v>#DIV/0!</v>
      </c>
      <c r="F403" s="21"/>
      <c r="P403" s="21"/>
      <c r="Z403" s="21"/>
      <c r="AJ403" s="21"/>
      <c r="AT403" s="21"/>
      <c r="BD403" s="21"/>
    </row>
    <row r="404" spans="5:56" x14ac:dyDescent="0.45">
      <c r="E404" t="e">
        <f>Ledger[[#This Row],[Transaction amount]]/Ledger[[#This Row],[Price]]</f>
        <v>#DIV/0!</v>
      </c>
      <c r="F404" s="21"/>
      <c r="P404" s="21"/>
      <c r="Z404" s="21"/>
      <c r="AJ404" s="21"/>
      <c r="AT404" s="21"/>
      <c r="BD404" s="21"/>
    </row>
    <row r="405" spans="5:56" x14ac:dyDescent="0.45">
      <c r="E405" t="e">
        <f>Ledger[[#This Row],[Transaction amount]]/Ledger[[#This Row],[Price]]</f>
        <v>#DIV/0!</v>
      </c>
      <c r="F405" s="21"/>
      <c r="P405" s="21"/>
      <c r="Z405" s="21"/>
      <c r="AJ405" s="21"/>
      <c r="AT405" s="21"/>
      <c r="BD405" s="21"/>
    </row>
    <row r="406" spans="5:56" x14ac:dyDescent="0.45">
      <c r="E406" t="e">
        <f>Ledger[[#This Row],[Transaction amount]]/Ledger[[#This Row],[Price]]</f>
        <v>#DIV/0!</v>
      </c>
      <c r="F406" s="21"/>
      <c r="P406" s="21"/>
      <c r="Z406" s="21"/>
      <c r="AJ406" s="21"/>
      <c r="AT406" s="21"/>
      <c r="BD406" s="21"/>
    </row>
    <row r="407" spans="5:56" x14ac:dyDescent="0.45">
      <c r="E407" t="e">
        <f>Ledger[[#This Row],[Transaction amount]]/Ledger[[#This Row],[Price]]</f>
        <v>#DIV/0!</v>
      </c>
      <c r="F407" s="21"/>
      <c r="P407" s="21"/>
      <c r="Z407" s="21"/>
      <c r="AJ407" s="21"/>
      <c r="AT407" s="21"/>
      <c r="BD407" s="21"/>
    </row>
    <row r="408" spans="5:56" x14ac:dyDescent="0.45">
      <c r="E408" t="e">
        <f>Ledger[[#This Row],[Transaction amount]]/Ledger[[#This Row],[Price]]</f>
        <v>#DIV/0!</v>
      </c>
      <c r="F408" s="21"/>
      <c r="P408" s="21"/>
      <c r="Z408" s="21"/>
      <c r="AJ408" s="21"/>
      <c r="AT408" s="21"/>
      <c r="BD408" s="21"/>
    </row>
    <row r="409" spans="5:56" x14ac:dyDescent="0.45">
      <c r="E409" t="e">
        <f>Ledger[[#This Row],[Transaction amount]]/Ledger[[#This Row],[Price]]</f>
        <v>#DIV/0!</v>
      </c>
      <c r="F409" s="21"/>
      <c r="P409" s="21"/>
      <c r="Z409" s="21"/>
      <c r="AJ409" s="21"/>
      <c r="AT409" s="21"/>
      <c r="BD409" s="21"/>
    </row>
    <row r="410" spans="5:56" x14ac:dyDescent="0.45">
      <c r="E410" t="e">
        <f>Ledger[[#This Row],[Transaction amount]]/Ledger[[#This Row],[Price]]</f>
        <v>#DIV/0!</v>
      </c>
      <c r="F410" s="21"/>
      <c r="P410" s="21"/>
      <c r="Z410" s="21"/>
      <c r="AJ410" s="21"/>
      <c r="AT410" s="21"/>
      <c r="BD410" s="21"/>
    </row>
    <row r="411" spans="5:56" x14ac:dyDescent="0.45">
      <c r="E411" t="e">
        <f>Ledger[[#This Row],[Transaction amount]]/Ledger[[#This Row],[Price]]</f>
        <v>#DIV/0!</v>
      </c>
      <c r="F411" s="21"/>
      <c r="P411" s="21"/>
      <c r="Z411" s="21"/>
      <c r="AJ411" s="21"/>
      <c r="AT411" s="21"/>
      <c r="BD411" s="21"/>
    </row>
    <row r="412" spans="5:56" x14ac:dyDescent="0.45">
      <c r="E412" t="e">
        <f>Ledger[[#This Row],[Transaction amount]]/Ledger[[#This Row],[Price]]</f>
        <v>#DIV/0!</v>
      </c>
      <c r="F412" s="21"/>
      <c r="P412" s="21"/>
      <c r="Z412" s="21"/>
      <c r="AJ412" s="21"/>
      <c r="AT412" s="21"/>
      <c r="BD412" s="21"/>
    </row>
    <row r="413" spans="5:56" x14ac:dyDescent="0.45">
      <c r="E413" t="e">
        <f>Ledger[[#This Row],[Transaction amount]]/Ledger[[#This Row],[Price]]</f>
        <v>#DIV/0!</v>
      </c>
      <c r="F413" s="21"/>
      <c r="P413" s="21"/>
      <c r="Z413" s="21"/>
      <c r="AJ413" s="21"/>
      <c r="AT413" s="21"/>
      <c r="BD413" s="21"/>
    </row>
    <row r="414" spans="5:56" x14ac:dyDescent="0.45">
      <c r="E414" t="e">
        <f>Ledger[[#This Row],[Transaction amount]]/Ledger[[#This Row],[Price]]</f>
        <v>#DIV/0!</v>
      </c>
      <c r="F414" s="21"/>
      <c r="P414" s="21"/>
      <c r="Z414" s="21"/>
      <c r="AJ414" s="21"/>
      <c r="AT414" s="21"/>
      <c r="BD414" s="21"/>
    </row>
    <row r="415" spans="5:56" x14ac:dyDescent="0.45">
      <c r="E415" t="e">
        <f>Ledger[[#This Row],[Transaction amount]]/Ledger[[#This Row],[Price]]</f>
        <v>#DIV/0!</v>
      </c>
      <c r="F415" s="21"/>
      <c r="P415" s="21"/>
      <c r="Z415" s="21"/>
      <c r="AJ415" s="21"/>
      <c r="AT415" s="21"/>
      <c r="BD415" s="21"/>
    </row>
    <row r="416" spans="5:56" x14ac:dyDescent="0.45">
      <c r="E416" t="e">
        <f>Ledger[[#This Row],[Transaction amount]]/Ledger[[#This Row],[Price]]</f>
        <v>#DIV/0!</v>
      </c>
      <c r="F416" s="21"/>
      <c r="P416" s="21"/>
      <c r="Z416" s="21"/>
      <c r="AJ416" s="21"/>
      <c r="AT416" s="21"/>
      <c r="BD416" s="21"/>
    </row>
    <row r="417" spans="5:56" x14ac:dyDescent="0.45">
      <c r="E417" t="e">
        <f>Ledger[[#This Row],[Transaction amount]]/Ledger[[#This Row],[Price]]</f>
        <v>#DIV/0!</v>
      </c>
      <c r="F417" s="21"/>
      <c r="P417" s="21"/>
      <c r="Z417" s="21"/>
      <c r="AJ417" s="21"/>
      <c r="AT417" s="21"/>
      <c r="BD417" s="21"/>
    </row>
    <row r="418" spans="5:56" x14ac:dyDescent="0.45">
      <c r="E418" t="e">
        <f>Ledger[[#This Row],[Transaction amount]]/Ledger[[#This Row],[Price]]</f>
        <v>#DIV/0!</v>
      </c>
      <c r="F418" s="21"/>
      <c r="P418" s="21"/>
      <c r="Z418" s="21"/>
      <c r="AJ418" s="21"/>
      <c r="AT418" s="21"/>
      <c r="BD418" s="21"/>
    </row>
    <row r="419" spans="5:56" x14ac:dyDescent="0.45">
      <c r="E419" t="e">
        <f>Ledger[[#This Row],[Transaction amount]]/Ledger[[#This Row],[Price]]</f>
        <v>#DIV/0!</v>
      </c>
      <c r="F419" s="21"/>
      <c r="P419" s="21"/>
      <c r="Z419" s="21"/>
      <c r="AJ419" s="21"/>
      <c r="AT419" s="21"/>
      <c r="BD419" s="21"/>
    </row>
    <row r="420" spans="5:56" x14ac:dyDescent="0.45">
      <c r="E420" t="e">
        <f>Ledger[[#This Row],[Transaction amount]]/Ledger[[#This Row],[Price]]</f>
        <v>#DIV/0!</v>
      </c>
      <c r="F420" s="21"/>
      <c r="P420" s="21"/>
      <c r="Z420" s="21"/>
      <c r="AJ420" s="21"/>
      <c r="AT420" s="21"/>
      <c r="BD420" s="21"/>
    </row>
    <row r="421" spans="5:56" x14ac:dyDescent="0.45">
      <c r="E421" t="e">
        <f>Ledger[[#This Row],[Transaction amount]]/Ledger[[#This Row],[Price]]</f>
        <v>#DIV/0!</v>
      </c>
      <c r="F421" s="21"/>
      <c r="P421" s="21"/>
      <c r="Z421" s="21"/>
      <c r="AJ421" s="21"/>
      <c r="AT421" s="21"/>
      <c r="BD421" s="21"/>
    </row>
    <row r="422" spans="5:56" x14ac:dyDescent="0.45">
      <c r="E422" t="e">
        <f>Ledger[[#This Row],[Transaction amount]]/Ledger[[#This Row],[Price]]</f>
        <v>#DIV/0!</v>
      </c>
      <c r="F422" s="21"/>
      <c r="P422" s="21"/>
      <c r="Z422" s="21"/>
      <c r="AJ422" s="21"/>
      <c r="AT422" s="21"/>
      <c r="BD422" s="21"/>
    </row>
    <row r="423" spans="5:56" x14ac:dyDescent="0.45">
      <c r="E423" t="e">
        <f>Ledger[[#This Row],[Transaction amount]]/Ledger[[#This Row],[Price]]</f>
        <v>#DIV/0!</v>
      </c>
      <c r="F423" s="21"/>
      <c r="P423" s="21"/>
      <c r="Z423" s="21"/>
      <c r="AJ423" s="21"/>
      <c r="AT423" s="21"/>
      <c r="BD423" s="21"/>
    </row>
    <row r="424" spans="5:56" x14ac:dyDescent="0.45">
      <c r="E424" t="e">
        <f>Ledger[[#This Row],[Transaction amount]]/Ledger[[#This Row],[Price]]</f>
        <v>#DIV/0!</v>
      </c>
      <c r="F424" s="21"/>
      <c r="P424" s="21"/>
      <c r="Z424" s="21"/>
      <c r="AJ424" s="21"/>
      <c r="AT424" s="21"/>
      <c r="BD424" s="21"/>
    </row>
    <row r="425" spans="5:56" x14ac:dyDescent="0.45">
      <c r="E425" t="e">
        <f>Ledger[[#This Row],[Transaction amount]]/Ledger[[#This Row],[Price]]</f>
        <v>#DIV/0!</v>
      </c>
      <c r="F425" s="21"/>
      <c r="P425" s="21"/>
      <c r="Z425" s="21"/>
      <c r="AJ425" s="21"/>
      <c r="AT425" s="21"/>
      <c r="BD425" s="21"/>
    </row>
    <row r="426" spans="5:56" x14ac:dyDescent="0.45">
      <c r="E426" t="e">
        <f>Ledger[[#This Row],[Transaction amount]]/Ledger[[#This Row],[Price]]</f>
        <v>#DIV/0!</v>
      </c>
      <c r="F426" s="21"/>
      <c r="P426" s="21"/>
      <c r="Z426" s="21"/>
      <c r="AJ426" s="21"/>
      <c r="AT426" s="21"/>
      <c r="BD426" s="21"/>
    </row>
    <row r="427" spans="5:56" x14ac:dyDescent="0.45">
      <c r="E427" t="e">
        <f>Ledger[[#This Row],[Transaction amount]]/Ledger[[#This Row],[Price]]</f>
        <v>#DIV/0!</v>
      </c>
      <c r="F427" s="21"/>
      <c r="P427" s="21"/>
      <c r="Z427" s="21"/>
      <c r="AJ427" s="21"/>
      <c r="AT427" s="21"/>
      <c r="BD427" s="21"/>
    </row>
    <row r="428" spans="5:56" x14ac:dyDescent="0.45">
      <c r="E428" t="e">
        <f>Ledger[[#This Row],[Transaction amount]]/Ledger[[#This Row],[Price]]</f>
        <v>#DIV/0!</v>
      </c>
      <c r="F428" s="21"/>
      <c r="P428" s="21"/>
      <c r="Z428" s="21"/>
      <c r="AJ428" s="21"/>
      <c r="AT428" s="21"/>
      <c r="BD428" s="21"/>
    </row>
    <row r="429" spans="5:56" x14ac:dyDescent="0.45">
      <c r="E429" t="e">
        <f>Ledger[[#This Row],[Transaction amount]]/Ledger[[#This Row],[Price]]</f>
        <v>#DIV/0!</v>
      </c>
      <c r="F429" s="21"/>
      <c r="P429" s="21"/>
      <c r="Z429" s="21"/>
      <c r="AJ429" s="21"/>
      <c r="AT429" s="21"/>
      <c r="BD429" s="21"/>
    </row>
    <row r="430" spans="5:56" x14ac:dyDescent="0.45">
      <c r="E430" t="e">
        <f>Ledger[[#This Row],[Transaction amount]]/Ledger[[#This Row],[Price]]</f>
        <v>#DIV/0!</v>
      </c>
      <c r="F430" s="21"/>
      <c r="P430" s="21"/>
      <c r="Z430" s="21"/>
      <c r="AJ430" s="21"/>
      <c r="AT430" s="21"/>
      <c r="BD430" s="21"/>
    </row>
    <row r="431" spans="5:56" x14ac:dyDescent="0.45">
      <c r="E431" t="e">
        <f>Ledger[[#This Row],[Transaction amount]]/Ledger[[#This Row],[Price]]</f>
        <v>#DIV/0!</v>
      </c>
      <c r="F431" s="21"/>
      <c r="P431" s="21"/>
      <c r="Z431" s="21"/>
      <c r="AJ431" s="21"/>
      <c r="AT431" s="21"/>
      <c r="BD431" s="21"/>
    </row>
    <row r="432" spans="5:56" x14ac:dyDescent="0.45">
      <c r="E432" t="e">
        <f>Ledger[[#This Row],[Transaction amount]]/Ledger[[#This Row],[Price]]</f>
        <v>#DIV/0!</v>
      </c>
      <c r="F432" s="21"/>
      <c r="P432" s="21"/>
      <c r="Z432" s="21"/>
      <c r="AJ432" s="21"/>
      <c r="AT432" s="21"/>
      <c r="BD432" s="21"/>
    </row>
    <row r="433" spans="5:56" x14ac:dyDescent="0.45">
      <c r="E433" t="e">
        <f>Ledger[[#This Row],[Transaction amount]]/Ledger[[#This Row],[Price]]</f>
        <v>#DIV/0!</v>
      </c>
      <c r="F433" s="21"/>
      <c r="P433" s="21"/>
      <c r="Z433" s="21"/>
      <c r="AJ433" s="21"/>
      <c r="AT433" s="21"/>
      <c r="BD433" s="21"/>
    </row>
    <row r="434" spans="5:56" x14ac:dyDescent="0.45">
      <c r="E434" t="e">
        <f>Ledger[[#This Row],[Transaction amount]]/Ledger[[#This Row],[Price]]</f>
        <v>#DIV/0!</v>
      </c>
      <c r="F434" s="21"/>
      <c r="P434" s="21"/>
      <c r="Z434" s="21"/>
      <c r="AJ434" s="21"/>
      <c r="AT434" s="21"/>
      <c r="BD434" s="21"/>
    </row>
    <row r="435" spans="5:56" x14ac:dyDescent="0.45">
      <c r="E435" t="e">
        <f>Ledger[[#This Row],[Transaction amount]]/Ledger[[#This Row],[Price]]</f>
        <v>#DIV/0!</v>
      </c>
      <c r="F435" s="21"/>
      <c r="P435" s="21"/>
      <c r="Z435" s="21"/>
      <c r="AJ435" s="21"/>
      <c r="AT435" s="21"/>
      <c r="BD435" s="21"/>
    </row>
    <row r="436" spans="5:56" x14ac:dyDescent="0.45">
      <c r="E436" t="e">
        <f>Ledger[[#This Row],[Transaction amount]]/Ledger[[#This Row],[Price]]</f>
        <v>#DIV/0!</v>
      </c>
      <c r="F436" s="21"/>
      <c r="P436" s="21"/>
      <c r="Z436" s="21"/>
      <c r="AJ436" s="21"/>
      <c r="AT436" s="21"/>
      <c r="BD436" s="21"/>
    </row>
    <row r="437" spans="5:56" x14ac:dyDescent="0.45">
      <c r="E437" t="e">
        <f>Ledger[[#This Row],[Transaction amount]]/Ledger[[#This Row],[Price]]</f>
        <v>#DIV/0!</v>
      </c>
      <c r="F437" s="21"/>
      <c r="P437" s="21"/>
      <c r="Z437" s="21"/>
      <c r="AJ437" s="21"/>
      <c r="AT437" s="21"/>
      <c r="BD437" s="21"/>
    </row>
    <row r="438" spans="5:56" x14ac:dyDescent="0.45">
      <c r="E438" t="e">
        <f>Ledger[[#This Row],[Transaction amount]]/Ledger[[#This Row],[Price]]</f>
        <v>#DIV/0!</v>
      </c>
      <c r="F438" s="21"/>
      <c r="P438" s="21"/>
      <c r="Z438" s="21"/>
      <c r="AJ438" s="21"/>
      <c r="AT438" s="21"/>
      <c r="BD438" s="21"/>
    </row>
    <row r="439" spans="5:56" x14ac:dyDescent="0.45">
      <c r="E439" t="e">
        <f>Ledger[[#This Row],[Transaction amount]]/Ledger[[#This Row],[Price]]</f>
        <v>#DIV/0!</v>
      </c>
      <c r="F439" s="21"/>
      <c r="P439" s="21"/>
      <c r="Z439" s="21"/>
      <c r="AJ439" s="21"/>
      <c r="AT439" s="21"/>
      <c r="BD439" s="21"/>
    </row>
    <row r="440" spans="5:56" x14ac:dyDescent="0.45">
      <c r="E440" t="e">
        <f>Ledger[[#This Row],[Transaction amount]]/Ledger[[#This Row],[Price]]</f>
        <v>#DIV/0!</v>
      </c>
      <c r="F440" s="21"/>
      <c r="P440" s="21"/>
      <c r="Z440" s="21"/>
      <c r="AJ440" s="21"/>
      <c r="AT440" s="21"/>
      <c r="BD440" s="21"/>
    </row>
    <row r="441" spans="5:56" x14ac:dyDescent="0.45">
      <c r="E441" t="e">
        <f>Ledger[[#This Row],[Transaction amount]]/Ledger[[#This Row],[Price]]</f>
        <v>#DIV/0!</v>
      </c>
      <c r="F441" s="21"/>
      <c r="P441" s="21"/>
      <c r="Z441" s="21"/>
      <c r="AJ441" s="21"/>
      <c r="AT441" s="21"/>
      <c r="BD441" s="21"/>
    </row>
    <row r="442" spans="5:56" x14ac:dyDescent="0.45">
      <c r="E442" t="e">
        <f>Ledger[[#This Row],[Transaction amount]]/Ledger[[#This Row],[Price]]</f>
        <v>#DIV/0!</v>
      </c>
      <c r="F442" s="21"/>
      <c r="P442" s="21"/>
      <c r="Z442" s="21"/>
      <c r="AJ442" s="21"/>
      <c r="AT442" s="21"/>
      <c r="BD442" s="21"/>
    </row>
    <row r="443" spans="5:56" x14ac:dyDescent="0.45">
      <c r="E443" t="e">
        <f>Ledger[[#This Row],[Transaction amount]]/Ledger[[#This Row],[Price]]</f>
        <v>#DIV/0!</v>
      </c>
      <c r="F443" s="21"/>
      <c r="P443" s="21"/>
      <c r="Z443" s="21"/>
      <c r="AJ443" s="21"/>
      <c r="AT443" s="21"/>
      <c r="BD443" s="21"/>
    </row>
    <row r="444" spans="5:56" x14ac:dyDescent="0.45">
      <c r="E444" t="e">
        <f>Ledger[[#This Row],[Transaction amount]]/Ledger[[#This Row],[Price]]</f>
        <v>#DIV/0!</v>
      </c>
      <c r="F444" s="21"/>
      <c r="P444" s="21"/>
      <c r="Z444" s="21"/>
      <c r="AJ444" s="21"/>
      <c r="AT444" s="21"/>
      <c r="BD444" s="21"/>
    </row>
    <row r="445" spans="5:56" x14ac:dyDescent="0.45">
      <c r="E445" t="e">
        <f>Ledger[[#This Row],[Transaction amount]]/Ledger[[#This Row],[Price]]</f>
        <v>#DIV/0!</v>
      </c>
      <c r="F445" s="21"/>
      <c r="P445" s="21"/>
      <c r="Z445" s="21"/>
      <c r="AJ445" s="21"/>
      <c r="AT445" s="21"/>
      <c r="BD445" s="21"/>
    </row>
    <row r="446" spans="5:56" x14ac:dyDescent="0.45">
      <c r="E446" t="e">
        <f>Ledger[[#This Row],[Transaction amount]]/Ledger[[#This Row],[Price]]</f>
        <v>#DIV/0!</v>
      </c>
      <c r="F446" s="21"/>
      <c r="P446" s="21"/>
      <c r="Z446" s="21"/>
      <c r="AJ446" s="21"/>
      <c r="AT446" s="21"/>
      <c r="BD446" s="21"/>
    </row>
    <row r="447" spans="5:56" x14ac:dyDescent="0.45">
      <c r="E447" t="e">
        <f>Ledger[[#This Row],[Transaction amount]]/Ledger[[#This Row],[Price]]</f>
        <v>#DIV/0!</v>
      </c>
      <c r="F447" s="21"/>
      <c r="P447" s="21"/>
      <c r="Z447" s="21"/>
      <c r="AJ447" s="21"/>
      <c r="AT447" s="21"/>
      <c r="BD447" s="21"/>
    </row>
    <row r="448" spans="5:56" x14ac:dyDescent="0.45">
      <c r="E448" t="e">
        <f>Ledger[[#This Row],[Transaction amount]]/Ledger[[#This Row],[Price]]</f>
        <v>#DIV/0!</v>
      </c>
      <c r="F448" s="21"/>
      <c r="P448" s="21"/>
      <c r="Z448" s="21"/>
      <c r="AJ448" s="21"/>
      <c r="AT448" s="21"/>
      <c r="BD448" s="21"/>
    </row>
    <row r="449" spans="5:56" x14ac:dyDescent="0.45">
      <c r="E449" t="e">
        <f>Ledger[[#This Row],[Transaction amount]]/Ledger[[#This Row],[Price]]</f>
        <v>#DIV/0!</v>
      </c>
      <c r="F449" s="21"/>
      <c r="P449" s="21"/>
      <c r="Z449" s="21"/>
      <c r="AJ449" s="21"/>
      <c r="AT449" s="21"/>
      <c r="BD449" s="21"/>
    </row>
    <row r="450" spans="5:56" x14ac:dyDescent="0.45">
      <c r="E450" t="e">
        <f>Ledger[[#This Row],[Transaction amount]]/Ledger[[#This Row],[Price]]</f>
        <v>#DIV/0!</v>
      </c>
      <c r="F450" s="21"/>
      <c r="P450" s="21"/>
      <c r="Z450" s="21"/>
      <c r="AJ450" s="21"/>
      <c r="AT450" s="21"/>
      <c r="BD450" s="21"/>
    </row>
    <row r="451" spans="5:56" x14ac:dyDescent="0.45">
      <c r="E451" t="e">
        <f>Ledger[[#This Row],[Transaction amount]]/Ledger[[#This Row],[Price]]</f>
        <v>#DIV/0!</v>
      </c>
      <c r="F451" s="21"/>
      <c r="P451" s="21"/>
      <c r="Z451" s="21"/>
      <c r="AJ451" s="21"/>
      <c r="AT451" s="21"/>
      <c r="BD451" s="21"/>
    </row>
    <row r="452" spans="5:56" x14ac:dyDescent="0.45">
      <c r="E452" t="e">
        <f>Ledger[[#This Row],[Transaction amount]]/Ledger[[#This Row],[Price]]</f>
        <v>#DIV/0!</v>
      </c>
      <c r="F452" s="21"/>
      <c r="P452" s="21"/>
      <c r="Z452" s="21"/>
      <c r="AJ452" s="21"/>
      <c r="AT452" s="21"/>
      <c r="BD452" s="21"/>
    </row>
    <row r="453" spans="5:56" x14ac:dyDescent="0.45">
      <c r="E453" t="e">
        <f>Ledger[[#This Row],[Transaction amount]]/Ledger[[#This Row],[Price]]</f>
        <v>#DIV/0!</v>
      </c>
      <c r="F453" s="21"/>
      <c r="P453" s="21"/>
      <c r="Z453" s="21"/>
      <c r="AJ453" s="21"/>
      <c r="AT453" s="21"/>
      <c r="BD453" s="21"/>
    </row>
    <row r="454" spans="5:56" x14ac:dyDescent="0.45">
      <c r="E454" t="e">
        <f>Ledger[[#This Row],[Transaction amount]]/Ledger[[#This Row],[Price]]</f>
        <v>#DIV/0!</v>
      </c>
      <c r="F454" s="21"/>
      <c r="P454" s="21"/>
      <c r="Z454" s="21"/>
      <c r="AJ454" s="21"/>
      <c r="AT454" s="21"/>
      <c r="BD454" s="21"/>
    </row>
    <row r="455" spans="5:56" x14ac:dyDescent="0.45">
      <c r="E455" t="e">
        <f>Ledger[[#This Row],[Transaction amount]]/Ledger[[#This Row],[Price]]</f>
        <v>#DIV/0!</v>
      </c>
      <c r="F455" s="21"/>
      <c r="P455" s="21"/>
      <c r="Z455" s="21"/>
      <c r="AJ455" s="21"/>
      <c r="AT455" s="21"/>
      <c r="BD455" s="21"/>
    </row>
    <row r="456" spans="5:56" x14ac:dyDescent="0.45">
      <c r="E456" t="e">
        <f>Ledger[[#This Row],[Transaction amount]]/Ledger[[#This Row],[Price]]</f>
        <v>#DIV/0!</v>
      </c>
      <c r="F456" s="21"/>
      <c r="P456" s="21"/>
      <c r="Z456" s="21"/>
      <c r="AJ456" s="21"/>
      <c r="AT456" s="21"/>
      <c r="BD456" s="21"/>
    </row>
    <row r="457" spans="5:56" x14ac:dyDescent="0.45">
      <c r="E457" t="e">
        <f>Ledger[[#This Row],[Transaction amount]]/Ledger[[#This Row],[Price]]</f>
        <v>#DIV/0!</v>
      </c>
      <c r="F457" s="21"/>
      <c r="P457" s="21"/>
      <c r="Z457" s="21"/>
      <c r="AJ457" s="21"/>
      <c r="AT457" s="21"/>
      <c r="BD457" s="21"/>
    </row>
    <row r="458" spans="5:56" x14ac:dyDescent="0.45">
      <c r="E458" t="e">
        <f>Ledger[[#This Row],[Transaction amount]]/Ledger[[#This Row],[Price]]</f>
        <v>#DIV/0!</v>
      </c>
      <c r="F458" s="21"/>
      <c r="P458" s="21"/>
      <c r="Z458" s="21"/>
      <c r="AJ458" s="21"/>
      <c r="AT458" s="21"/>
      <c r="BD458" s="21"/>
    </row>
    <row r="459" spans="5:56" x14ac:dyDescent="0.45">
      <c r="E459" t="e">
        <f>Ledger[[#This Row],[Transaction amount]]/Ledger[[#This Row],[Price]]</f>
        <v>#DIV/0!</v>
      </c>
      <c r="F459" s="21"/>
      <c r="P459" s="21"/>
      <c r="Z459" s="21"/>
      <c r="AJ459" s="21"/>
      <c r="AT459" s="21"/>
      <c r="BD459" s="21"/>
    </row>
    <row r="460" spans="5:56" x14ac:dyDescent="0.45">
      <c r="E460" t="e">
        <f>Ledger[[#This Row],[Transaction amount]]/Ledger[[#This Row],[Price]]</f>
        <v>#DIV/0!</v>
      </c>
      <c r="F460" s="21"/>
      <c r="P460" s="21"/>
      <c r="Z460" s="21"/>
      <c r="AJ460" s="21"/>
      <c r="AT460" s="21"/>
      <c r="BD460" s="21"/>
    </row>
    <row r="461" spans="5:56" x14ac:dyDescent="0.45">
      <c r="E461" t="e">
        <f>Ledger[[#This Row],[Transaction amount]]/Ledger[[#This Row],[Price]]</f>
        <v>#DIV/0!</v>
      </c>
      <c r="F461" s="21"/>
      <c r="P461" s="21"/>
      <c r="Z461" s="21"/>
      <c r="AJ461" s="21"/>
      <c r="AT461" s="21"/>
      <c r="BD461" s="21"/>
    </row>
    <row r="462" spans="5:56" x14ac:dyDescent="0.45">
      <c r="E462" t="e">
        <f>Ledger[[#This Row],[Transaction amount]]/Ledger[[#This Row],[Price]]</f>
        <v>#DIV/0!</v>
      </c>
      <c r="F462" s="21"/>
      <c r="P462" s="21"/>
      <c r="Z462" s="21"/>
      <c r="AJ462" s="21"/>
      <c r="AT462" s="21"/>
      <c r="BD462" s="21"/>
    </row>
    <row r="463" spans="5:56" x14ac:dyDescent="0.45">
      <c r="E463" t="e">
        <f>Ledger[[#This Row],[Transaction amount]]/Ledger[[#This Row],[Price]]</f>
        <v>#DIV/0!</v>
      </c>
      <c r="F463" s="21"/>
      <c r="P463" s="21"/>
      <c r="Z463" s="21"/>
      <c r="AJ463" s="21"/>
      <c r="AT463" s="21"/>
      <c r="BD463" s="21"/>
    </row>
    <row r="464" spans="5:56" x14ac:dyDescent="0.45">
      <c r="E464" t="e">
        <f>Ledger[[#This Row],[Transaction amount]]/Ledger[[#This Row],[Price]]</f>
        <v>#DIV/0!</v>
      </c>
      <c r="F464" s="21"/>
      <c r="P464" s="21"/>
      <c r="Z464" s="21"/>
      <c r="AJ464" s="21"/>
      <c r="AT464" s="21"/>
      <c r="BD464" s="21"/>
    </row>
    <row r="465" spans="5:56" x14ac:dyDescent="0.45">
      <c r="E465" t="e">
        <f>Ledger[[#This Row],[Transaction amount]]/Ledger[[#This Row],[Price]]</f>
        <v>#DIV/0!</v>
      </c>
      <c r="F465" s="21"/>
      <c r="P465" s="21"/>
      <c r="Z465" s="21"/>
      <c r="AJ465" s="21"/>
      <c r="AT465" s="21"/>
      <c r="BD465" s="21"/>
    </row>
    <row r="466" spans="5:56" x14ac:dyDescent="0.45">
      <c r="E466" t="e">
        <f>Ledger[[#This Row],[Transaction amount]]/Ledger[[#This Row],[Price]]</f>
        <v>#DIV/0!</v>
      </c>
      <c r="F466" s="21"/>
      <c r="P466" s="21"/>
      <c r="Z466" s="21"/>
      <c r="AJ466" s="21"/>
      <c r="AT466" s="21"/>
      <c r="BD466" s="21"/>
    </row>
    <row r="467" spans="5:56" x14ac:dyDescent="0.45">
      <c r="E467" t="e">
        <f>Ledger[[#This Row],[Transaction amount]]/Ledger[[#This Row],[Price]]</f>
        <v>#DIV/0!</v>
      </c>
      <c r="F467" s="21"/>
      <c r="P467" s="21"/>
      <c r="Z467" s="21"/>
      <c r="AJ467" s="21"/>
      <c r="AT467" s="21"/>
      <c r="BD467" s="21"/>
    </row>
    <row r="468" spans="5:56" x14ac:dyDescent="0.45">
      <c r="E468" t="e">
        <f>Ledger[[#This Row],[Transaction amount]]/Ledger[[#This Row],[Price]]</f>
        <v>#DIV/0!</v>
      </c>
      <c r="F468" s="21"/>
      <c r="P468" s="21"/>
      <c r="Z468" s="21"/>
      <c r="AJ468" s="21"/>
      <c r="AT468" s="21"/>
      <c r="BD468" s="21"/>
    </row>
    <row r="469" spans="5:56" x14ac:dyDescent="0.45">
      <c r="E469" t="e">
        <f>Ledger[[#This Row],[Transaction amount]]/Ledger[[#This Row],[Price]]</f>
        <v>#DIV/0!</v>
      </c>
      <c r="F469" s="21"/>
      <c r="P469" s="21"/>
      <c r="Z469" s="21"/>
      <c r="AJ469" s="21"/>
      <c r="AT469" s="21"/>
      <c r="BD469" s="21"/>
    </row>
    <row r="470" spans="5:56" x14ac:dyDescent="0.45">
      <c r="E470" t="e">
        <f>Ledger[[#This Row],[Transaction amount]]/Ledger[[#This Row],[Price]]</f>
        <v>#DIV/0!</v>
      </c>
      <c r="F470" s="21"/>
      <c r="P470" s="21"/>
      <c r="Z470" s="21"/>
      <c r="AJ470" s="21"/>
      <c r="AT470" s="21"/>
      <c r="BD470" s="21"/>
    </row>
    <row r="471" spans="5:56" x14ac:dyDescent="0.45">
      <c r="E471" t="e">
        <f>Ledger[[#This Row],[Transaction amount]]/Ledger[[#This Row],[Price]]</f>
        <v>#DIV/0!</v>
      </c>
      <c r="F471" s="21"/>
      <c r="P471" s="21"/>
      <c r="Z471" s="21"/>
      <c r="AJ471" s="21"/>
      <c r="AT471" s="21"/>
      <c r="BD471" s="21"/>
    </row>
    <row r="472" spans="5:56" x14ac:dyDescent="0.45">
      <c r="E472" t="e">
        <f>Ledger[[#This Row],[Transaction amount]]/Ledger[[#This Row],[Price]]</f>
        <v>#DIV/0!</v>
      </c>
      <c r="F472" s="21"/>
      <c r="P472" s="21"/>
      <c r="Z472" s="21"/>
      <c r="AJ472" s="21"/>
      <c r="AT472" s="21"/>
      <c r="BD472" s="21"/>
    </row>
    <row r="473" spans="5:56" x14ac:dyDescent="0.45">
      <c r="E473" t="e">
        <f>Ledger[[#This Row],[Transaction amount]]/Ledger[[#This Row],[Price]]</f>
        <v>#DIV/0!</v>
      </c>
      <c r="F473" s="21"/>
      <c r="P473" s="21"/>
      <c r="Z473" s="21"/>
      <c r="AJ473" s="21"/>
      <c r="AT473" s="21"/>
      <c r="BD473" s="21"/>
    </row>
    <row r="474" spans="5:56" x14ac:dyDescent="0.45">
      <c r="E474" t="e">
        <f>Ledger[[#This Row],[Transaction amount]]/Ledger[[#This Row],[Price]]</f>
        <v>#DIV/0!</v>
      </c>
      <c r="F474" s="21"/>
      <c r="P474" s="21"/>
      <c r="Z474" s="21"/>
      <c r="AJ474" s="21"/>
      <c r="AT474" s="21"/>
      <c r="BD474" s="21"/>
    </row>
    <row r="475" spans="5:56" x14ac:dyDescent="0.45">
      <c r="E475" t="e">
        <f>Ledger[[#This Row],[Transaction amount]]/Ledger[[#This Row],[Price]]</f>
        <v>#DIV/0!</v>
      </c>
      <c r="F475" s="21"/>
      <c r="P475" s="21"/>
      <c r="Z475" s="21"/>
      <c r="AJ475" s="21"/>
      <c r="AT475" s="21"/>
      <c r="BD475" s="21"/>
    </row>
    <row r="476" spans="5:56" x14ac:dyDescent="0.45">
      <c r="E476" t="e">
        <f>Ledger[[#This Row],[Transaction amount]]/Ledger[[#This Row],[Price]]</f>
        <v>#DIV/0!</v>
      </c>
      <c r="F476" s="21"/>
      <c r="P476" s="21"/>
      <c r="Z476" s="21"/>
      <c r="AJ476" s="21"/>
      <c r="AT476" s="21"/>
      <c r="BD476" s="21"/>
    </row>
    <row r="477" spans="5:56" x14ac:dyDescent="0.45">
      <c r="E477" t="e">
        <f>Ledger[[#This Row],[Transaction amount]]/Ledger[[#This Row],[Price]]</f>
        <v>#DIV/0!</v>
      </c>
      <c r="F477" s="21"/>
      <c r="P477" s="21"/>
      <c r="Z477" s="21"/>
      <c r="AJ477" s="21"/>
      <c r="AT477" s="21"/>
      <c r="BD477" s="21"/>
    </row>
    <row r="478" spans="5:56" x14ac:dyDescent="0.45">
      <c r="E478" t="e">
        <f>Ledger[[#This Row],[Transaction amount]]/Ledger[[#This Row],[Price]]</f>
        <v>#DIV/0!</v>
      </c>
      <c r="F478" s="21"/>
      <c r="P478" s="21"/>
      <c r="Z478" s="21"/>
      <c r="AJ478" s="21"/>
      <c r="AT478" s="21"/>
      <c r="BD478" s="21"/>
    </row>
    <row r="479" spans="5:56" x14ac:dyDescent="0.45">
      <c r="E479" t="e">
        <f>Ledger[[#This Row],[Transaction amount]]/Ledger[[#This Row],[Price]]</f>
        <v>#DIV/0!</v>
      </c>
      <c r="F479" s="21"/>
      <c r="P479" s="21"/>
      <c r="Z479" s="21"/>
      <c r="AJ479" s="21"/>
      <c r="AT479" s="21"/>
      <c r="BD479" s="21"/>
    </row>
    <row r="480" spans="5:56" x14ac:dyDescent="0.45">
      <c r="E480" t="e">
        <f>Ledger[[#This Row],[Transaction amount]]/Ledger[[#This Row],[Price]]</f>
        <v>#DIV/0!</v>
      </c>
      <c r="F480" s="21"/>
      <c r="P480" s="21"/>
      <c r="Z480" s="21"/>
      <c r="AJ480" s="21"/>
      <c r="AT480" s="21"/>
      <c r="BD480" s="21"/>
    </row>
    <row r="481" spans="5:56" x14ac:dyDescent="0.45">
      <c r="E481" t="e">
        <f>Ledger[[#This Row],[Transaction amount]]/Ledger[[#This Row],[Price]]</f>
        <v>#DIV/0!</v>
      </c>
      <c r="F481" s="21"/>
      <c r="P481" s="21"/>
      <c r="Z481" s="21"/>
      <c r="AJ481" s="21"/>
      <c r="AT481" s="21"/>
      <c r="BD481" s="21"/>
    </row>
    <row r="482" spans="5:56" x14ac:dyDescent="0.45">
      <c r="E482" t="e">
        <f>Ledger[[#This Row],[Transaction amount]]/Ledger[[#This Row],[Price]]</f>
        <v>#DIV/0!</v>
      </c>
      <c r="F482" s="21"/>
      <c r="P482" s="21"/>
      <c r="Z482" s="21"/>
      <c r="AJ482" s="21"/>
      <c r="AT482" s="21"/>
      <c r="BD482" s="21"/>
    </row>
    <row r="483" spans="5:56" x14ac:dyDescent="0.45">
      <c r="E483" t="e">
        <f>Ledger[[#This Row],[Transaction amount]]/Ledger[[#This Row],[Price]]</f>
        <v>#DIV/0!</v>
      </c>
      <c r="F483" s="21"/>
      <c r="P483" s="21"/>
      <c r="Z483" s="21"/>
      <c r="AJ483" s="21"/>
      <c r="AT483" s="21"/>
      <c r="BD483" s="21"/>
    </row>
    <row r="484" spans="5:56" x14ac:dyDescent="0.45">
      <c r="E484" t="e">
        <f>Ledger[[#This Row],[Transaction amount]]/Ledger[[#This Row],[Price]]</f>
        <v>#DIV/0!</v>
      </c>
      <c r="F484" s="21"/>
      <c r="P484" s="21"/>
      <c r="Z484" s="21"/>
      <c r="AJ484" s="21"/>
      <c r="AT484" s="21"/>
      <c r="BD484" s="21"/>
    </row>
    <row r="485" spans="5:56" x14ac:dyDescent="0.45">
      <c r="E485" t="e">
        <f>Ledger[[#This Row],[Transaction amount]]/Ledger[[#This Row],[Price]]</f>
        <v>#DIV/0!</v>
      </c>
      <c r="F485" s="21"/>
      <c r="P485" s="21"/>
      <c r="Z485" s="21"/>
      <c r="AJ485" s="21"/>
      <c r="AT485" s="21"/>
      <c r="BD485" s="21"/>
    </row>
    <row r="486" spans="5:56" x14ac:dyDescent="0.45">
      <c r="E486" t="e">
        <f>Ledger[[#This Row],[Transaction amount]]/Ledger[[#This Row],[Price]]</f>
        <v>#DIV/0!</v>
      </c>
      <c r="F486" s="21"/>
      <c r="P486" s="21"/>
      <c r="Z486" s="21"/>
      <c r="AJ486" s="21"/>
      <c r="AT486" s="21"/>
      <c r="BD486" s="21"/>
    </row>
    <row r="487" spans="5:56" x14ac:dyDescent="0.45">
      <c r="E487" t="e">
        <f>Ledger[[#This Row],[Transaction amount]]/Ledger[[#This Row],[Price]]</f>
        <v>#DIV/0!</v>
      </c>
      <c r="F487" s="21"/>
      <c r="P487" s="21"/>
      <c r="Z487" s="21"/>
      <c r="AJ487" s="21"/>
      <c r="AT487" s="21"/>
      <c r="BD487" s="21"/>
    </row>
    <row r="488" spans="5:56" x14ac:dyDescent="0.45">
      <c r="E488" t="e">
        <f>Ledger[[#This Row],[Transaction amount]]/Ledger[[#This Row],[Price]]</f>
        <v>#DIV/0!</v>
      </c>
      <c r="F488" s="21"/>
      <c r="P488" s="21"/>
      <c r="Z488" s="21"/>
      <c r="AJ488" s="21"/>
      <c r="AT488" s="21"/>
      <c r="BD488" s="21"/>
    </row>
    <row r="489" spans="5:56" x14ac:dyDescent="0.45">
      <c r="E489" t="e">
        <f>Ledger[[#This Row],[Transaction amount]]/Ledger[[#This Row],[Price]]</f>
        <v>#DIV/0!</v>
      </c>
      <c r="F489" s="21"/>
      <c r="P489" s="21"/>
      <c r="Z489" s="21"/>
      <c r="AJ489" s="21"/>
      <c r="AT489" s="21"/>
      <c r="BD489" s="21"/>
    </row>
    <row r="490" spans="5:56" x14ac:dyDescent="0.45">
      <c r="E490" t="e">
        <f>Ledger[[#This Row],[Transaction amount]]/Ledger[[#This Row],[Price]]</f>
        <v>#DIV/0!</v>
      </c>
      <c r="F490" s="21"/>
      <c r="P490" s="21"/>
      <c r="Z490" s="21"/>
      <c r="AJ490" s="21"/>
      <c r="AT490" s="21"/>
      <c r="BD490" s="21"/>
    </row>
    <row r="491" spans="5:56" x14ac:dyDescent="0.45">
      <c r="E491" t="e">
        <f>Ledger[[#This Row],[Transaction amount]]/Ledger[[#This Row],[Price]]</f>
        <v>#DIV/0!</v>
      </c>
      <c r="F491" s="21"/>
      <c r="P491" s="21"/>
      <c r="Z491" s="21"/>
      <c r="AJ491" s="21"/>
      <c r="AT491" s="21"/>
      <c r="BD491" s="21"/>
    </row>
    <row r="492" spans="5:56" x14ac:dyDescent="0.45">
      <c r="E492" t="e">
        <f>Ledger[[#This Row],[Transaction amount]]/Ledger[[#This Row],[Price]]</f>
        <v>#DIV/0!</v>
      </c>
      <c r="F492" s="21"/>
      <c r="P492" s="21"/>
      <c r="Z492" s="21"/>
      <c r="AJ492" s="21"/>
      <c r="AT492" s="21"/>
      <c r="BD492" s="21"/>
    </row>
    <row r="493" spans="5:56" x14ac:dyDescent="0.45">
      <c r="E493" t="e">
        <f>Ledger[[#This Row],[Transaction amount]]/Ledger[[#This Row],[Price]]</f>
        <v>#DIV/0!</v>
      </c>
      <c r="F493" s="21"/>
      <c r="P493" s="21"/>
      <c r="Z493" s="21"/>
      <c r="AJ493" s="21"/>
      <c r="AT493" s="21"/>
      <c r="BD493" s="21"/>
    </row>
    <row r="494" spans="5:56" x14ac:dyDescent="0.45">
      <c r="E494" t="e">
        <f>Ledger[[#This Row],[Transaction amount]]/Ledger[[#This Row],[Price]]</f>
        <v>#DIV/0!</v>
      </c>
      <c r="F494" s="21"/>
      <c r="P494" s="21"/>
      <c r="Z494" s="21"/>
      <c r="AJ494" s="21"/>
      <c r="AT494" s="21"/>
      <c r="BD494" s="21"/>
    </row>
    <row r="495" spans="5:56" x14ac:dyDescent="0.45">
      <c r="E495" t="e">
        <f>Ledger[[#This Row],[Transaction amount]]/Ledger[[#This Row],[Price]]</f>
        <v>#DIV/0!</v>
      </c>
      <c r="F495" s="21"/>
      <c r="P495" s="21"/>
      <c r="Z495" s="21"/>
      <c r="AJ495" s="21"/>
      <c r="AT495" s="21"/>
      <c r="BD495" s="21"/>
    </row>
    <row r="496" spans="5:56" x14ac:dyDescent="0.45">
      <c r="E496" t="e">
        <f>Ledger[[#This Row],[Transaction amount]]/Ledger[[#This Row],[Price]]</f>
        <v>#DIV/0!</v>
      </c>
      <c r="F496" s="21"/>
      <c r="P496" s="21"/>
      <c r="Z496" s="21"/>
      <c r="AJ496" s="21"/>
      <c r="AT496" s="21"/>
      <c r="BD496" s="21"/>
    </row>
    <row r="497" spans="5:56" x14ac:dyDescent="0.45">
      <c r="E497" t="e">
        <f>Ledger[[#This Row],[Transaction amount]]/Ledger[[#This Row],[Price]]</f>
        <v>#DIV/0!</v>
      </c>
      <c r="F497" s="21"/>
      <c r="P497" s="21"/>
      <c r="Z497" s="21"/>
      <c r="AJ497" s="21"/>
      <c r="AT497" s="21"/>
      <c r="BD497" s="21"/>
    </row>
    <row r="498" spans="5:56" x14ac:dyDescent="0.45">
      <c r="E498" t="e">
        <f>Ledger[[#This Row],[Transaction amount]]/Ledger[[#This Row],[Price]]</f>
        <v>#DIV/0!</v>
      </c>
      <c r="F498" s="21"/>
      <c r="P498" s="21"/>
      <c r="Z498" s="21"/>
      <c r="AJ498" s="21"/>
      <c r="AT498" s="21"/>
      <c r="BD498" s="21"/>
    </row>
    <row r="499" spans="5:56" x14ac:dyDescent="0.45">
      <c r="E499" t="e">
        <f>Ledger[[#This Row],[Transaction amount]]/Ledger[[#This Row],[Price]]</f>
        <v>#DIV/0!</v>
      </c>
      <c r="F499" s="21"/>
      <c r="P499" s="21"/>
      <c r="Z499" s="21"/>
      <c r="AJ499" s="21"/>
      <c r="AT499" s="21"/>
      <c r="BD499" s="21"/>
    </row>
    <row r="500" spans="5:56" x14ac:dyDescent="0.45">
      <c r="E500" t="e">
        <f>Ledger[[#This Row],[Transaction amount]]/Ledger[[#This Row],[Price]]</f>
        <v>#DIV/0!</v>
      </c>
      <c r="F500" s="21"/>
      <c r="P500" s="21"/>
      <c r="Z500" s="21"/>
      <c r="AJ500" s="21"/>
      <c r="AT500" s="21"/>
      <c r="BD500" s="21"/>
    </row>
  </sheetData>
  <mergeCells count="11">
    <mergeCell ref="C2:E2"/>
    <mergeCell ref="M1:P1"/>
    <mergeCell ref="M2:P2"/>
    <mergeCell ref="W1:Z1"/>
    <mergeCell ref="BK1:BN1"/>
    <mergeCell ref="BK2:BN2"/>
    <mergeCell ref="W2:Z2"/>
    <mergeCell ref="AG1:AJ1"/>
    <mergeCell ref="AG2:AJ2"/>
    <mergeCell ref="AQ1:AT1"/>
    <mergeCell ref="AQ2:AT2"/>
  </mergeCells>
  <phoneticPr fontId="1" type="noConversion"/>
  <conditionalFormatting sqref="A4:H500">
    <cfRule type="containsErrors" priority="2">
      <formula>ISERROR(A4)</formula>
    </cfRule>
  </conditionalFormatting>
  <pageMargins left="0.7" right="0.7" top="0.75" bottom="0.75" header="0.3" footer="0.3"/>
  <pageSetup orientation="portrait" r:id="rId1"/>
  <tableParts count="5">
    <tablePart r:id="rId2"/>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1FFF0-E06D-41BF-9CD5-9880D4374ACD}">
  <sheetPr codeName="Sheet4"/>
  <dimension ref="A1:J18"/>
  <sheetViews>
    <sheetView workbookViewId="0">
      <selection activeCell="G19" sqref="G19"/>
    </sheetView>
  </sheetViews>
  <sheetFormatPr defaultRowHeight="14.25" x14ac:dyDescent="0.45"/>
  <cols>
    <col min="1" max="1" width="31.73046875" customWidth="1"/>
    <col min="2" max="2" width="26.59765625" customWidth="1"/>
    <col min="4" max="4" width="11.3984375" customWidth="1"/>
    <col min="5" max="5" width="14.86328125" customWidth="1"/>
    <col min="6" max="7" width="9.06640625" customWidth="1"/>
    <col min="8" max="8" width="10.1328125" customWidth="1"/>
    <col min="9" max="9" width="11.265625" customWidth="1"/>
    <col min="10" max="10" width="21.265625" customWidth="1"/>
  </cols>
  <sheetData>
    <row r="1" spans="1:10" ht="34.15" customHeight="1" x14ac:dyDescent="0.85">
      <c r="A1" s="40" t="s">
        <v>34</v>
      </c>
      <c r="B1" s="40"/>
      <c r="C1" s="5"/>
      <c r="D1" s="5"/>
      <c r="E1" s="15" t="s">
        <v>17</v>
      </c>
      <c r="F1" s="38" t="s">
        <v>18</v>
      </c>
      <c r="G1" s="38"/>
      <c r="H1" s="39" t="s">
        <v>20</v>
      </c>
      <c r="I1" s="39"/>
      <c r="J1" s="16" t="e" vm="1">
        <v>#VALUE!</v>
      </c>
    </row>
    <row r="2" spans="1:10" x14ac:dyDescent="0.45">
      <c r="A2" s="5"/>
      <c r="B2" s="5"/>
      <c r="C2" s="5"/>
      <c r="D2" s="5"/>
      <c r="E2" s="6">
        <f>SUM(_xlfn.ANCHORARRAY(E6))</f>
        <v>8946.5143777260237</v>
      </c>
      <c r="F2" s="6">
        <f>SUM(_xlfn.ANCHORARRAY(F6))</f>
        <v>135.75180587348245</v>
      </c>
      <c r="G2" s="7">
        <f>F2/(E2-F2)</f>
        <v>1.5407497905705048E-2</v>
      </c>
      <c r="H2" s="6">
        <f>SUM(_xlfn.ANCHORARRAY(H6))</f>
        <v>5332.9143777260233</v>
      </c>
      <c r="I2" s="7" cm="1">
        <f t="array" ref="I2">(E2/SUM(SUMIF(LedRan[Stock],_xlfn.ANCHORARRAY(A6),LedRan[Transaction amount])))-1</f>
        <v>1.4757898986401439</v>
      </c>
      <c r="J2" s="8" cm="1">
        <f t="array" ref="J2">_FV(J1,"Price")</f>
        <v>4.4000000000000004</v>
      </c>
    </row>
    <row r="4" spans="1:10" ht="18" x14ac:dyDescent="0.55000000000000004">
      <c r="A4" s="14" t="s">
        <v>1</v>
      </c>
      <c r="B4" s="12"/>
      <c r="C4" s="12"/>
      <c r="D4" s="12"/>
      <c r="E4" s="12"/>
      <c r="F4" s="12"/>
      <c r="G4" s="12"/>
      <c r="H4" s="12"/>
      <c r="I4" s="12"/>
      <c r="J4" s="12"/>
    </row>
    <row r="5" spans="1:10" ht="14.65" thickBot="1" x14ac:dyDescent="0.5">
      <c r="A5" s="13" t="s">
        <v>2</v>
      </c>
      <c r="B5" s="13" t="s">
        <v>12</v>
      </c>
      <c r="C5" s="13" t="s">
        <v>5</v>
      </c>
      <c r="D5" s="13" t="s">
        <v>13</v>
      </c>
      <c r="E5" s="13" t="s">
        <v>14</v>
      </c>
      <c r="F5" s="37" t="s">
        <v>18</v>
      </c>
      <c r="G5" s="37"/>
      <c r="H5" s="37" t="s">
        <v>19</v>
      </c>
      <c r="I5" s="37"/>
      <c r="J5" s="13" t="s">
        <v>16</v>
      </c>
    </row>
    <row r="6" spans="1:10" x14ac:dyDescent="0.45">
      <c r="A6" s="9" t="e" cm="1" vm="2">
        <f t="array" ref="A6:A9">_xlfn._xlws.SORT(_xlfn.UNIQUE(_xlfn._xlws.FILTER(LedRan[Stock],SUMIF(LedRan[Stock],LedRan[Stock],LedRan[Units])&lt;&gt;0)))</f>
        <v>#VALUE!</v>
      </c>
      <c r="B6" s="9" t="str" cm="1">
        <f t="array" ref="B6:B9">_FV(_xlfn.ANCHORARRAY(A6),"Industry")</f>
        <v>Software &amp; IT Services</v>
      </c>
      <c r="C6" s="9" cm="1">
        <f t="array" ref="C6:C9">SUMIF(LedRan[Stock],_xlfn.ANCHORARRAY(A6),LedRan[Units])</f>
        <v>1.9179133103183739</v>
      </c>
      <c r="D6" s="10" cm="1">
        <f t="array" ref="D6:D9">_FV(_xlfn.ANCHORARRAY(A6),"Price")</f>
        <v>2157.31</v>
      </c>
      <c r="E6" s="2" cm="1">
        <f t="array" ref="E6:E9">_xlfn.ANCHORARRAY(C6)*_xlfn.ANCHORARRAY(D6)</f>
        <v>4137.5335634829307</v>
      </c>
      <c r="F6" s="2" cm="1">
        <f t="array" ref="F6:F9">(_xlfn.ANCHORARRAY(D6)-_FV(_xlfn.ANCHORARRAY(A6),"Previous close",TRUE))*_xlfn.ANCHORARRAY(C6)</f>
        <v>47.16148830072909</v>
      </c>
      <c r="G6" s="3" cm="1">
        <f t="array" ref="G6:G9">_xlfn.ANCHORARRAY(F6)/(_xlfn.ANCHORARRAY(E6)-_xlfn.ANCHORARRAY(F6))</f>
        <v>1.1529877339735244E-2</v>
      </c>
      <c r="H6" s="10" cm="1">
        <f t="array" ref="H6:H9">-SUMIF(LedRan[Stock],_xlfn.ANCHORARRAY(A6),LedRan[Transaction amount])+_xlfn.ANCHORARRAY(E6)</f>
        <v>3587.5335634829307</v>
      </c>
      <c r="I6" s="11" cm="1">
        <f t="array" ref="I6:I9">(_xlfn.ANCHORARRAY(E6)/SUMIF(LedRan[Stock],_xlfn.ANCHORARRAY(A6),LedRan[Transaction amount]))-1</f>
        <v>6.522788297241692</v>
      </c>
    </row>
    <row r="7" spans="1:10" x14ac:dyDescent="0.45">
      <c r="A7" t="e" vm="3">
        <v>#VALUE!</v>
      </c>
      <c r="B7" t="str">
        <v>Diversified Retail</v>
      </c>
      <c r="C7">
        <v>13.844480175202989</v>
      </c>
      <c r="D7" s="2">
        <v>106.22</v>
      </c>
      <c r="E7" s="2">
        <v>1470.5606842100615</v>
      </c>
      <c r="F7" s="2">
        <v>35.44186924851968</v>
      </c>
      <c r="G7" s="3">
        <v>2.4696121937102085E-2</v>
      </c>
      <c r="H7" s="2">
        <v>720.56068421006148</v>
      </c>
      <c r="I7" s="3">
        <v>0.96074757894674856</v>
      </c>
    </row>
    <row r="8" spans="1:10" x14ac:dyDescent="0.45">
      <c r="A8" t="e" vm="4">
        <v>#VALUE!</v>
      </c>
      <c r="B8" t="str">
        <v>Software &amp; IT Services</v>
      </c>
      <c r="C8">
        <v>2.1450021450021453</v>
      </c>
      <c r="D8" s="2">
        <v>247.65</v>
      </c>
      <c r="E8" s="2">
        <v>531.20978120978134</v>
      </c>
      <c r="F8" s="2">
        <v>5.7486057486057636</v>
      </c>
      <c r="G8" s="3">
        <v>1.0940115116136696E-2</v>
      </c>
      <c r="H8" s="2">
        <v>81.20978120978134</v>
      </c>
      <c r="I8" s="3">
        <v>0.18046618046618068</v>
      </c>
    </row>
    <row r="9" spans="1:10" x14ac:dyDescent="0.45">
      <c r="A9" t="e" vm="5">
        <v>#VALUE!</v>
      </c>
      <c r="B9" t="str">
        <v>Automobiles &amp; Auto Parts</v>
      </c>
      <c r="C9">
        <v>4.316925553335869</v>
      </c>
      <c r="D9" s="2">
        <v>650.28</v>
      </c>
      <c r="E9" s="2">
        <v>2807.2103488232488</v>
      </c>
      <c r="F9" s="2">
        <v>47.399842575627922</v>
      </c>
      <c r="G9" s="3">
        <v>1.7175035194744281E-2</v>
      </c>
      <c r="H9" s="2">
        <v>943.61034882324884</v>
      </c>
      <c r="I9" s="3">
        <v>0.50633738400045547</v>
      </c>
    </row>
    <row r="10" spans="1:10" x14ac:dyDescent="0.45">
      <c r="D10" s="2"/>
      <c r="E10" s="2"/>
      <c r="F10" s="2"/>
      <c r="G10" s="3"/>
      <c r="H10" s="2"/>
      <c r="I10" s="3"/>
    </row>
    <row r="11" spans="1:10" x14ac:dyDescent="0.45">
      <c r="D11" s="2"/>
      <c r="E11" s="2"/>
      <c r="F11" s="2"/>
      <c r="G11" s="3"/>
      <c r="H11" s="2"/>
      <c r="I11" s="3"/>
    </row>
    <row r="12" spans="1:10" x14ac:dyDescent="0.45">
      <c r="D12" s="2"/>
      <c r="E12" s="2"/>
      <c r="F12" s="2"/>
      <c r="G12" s="3"/>
      <c r="H12" s="2"/>
      <c r="I12" s="3"/>
    </row>
    <row r="14" spans="1:10" ht="18" x14ac:dyDescent="0.55000000000000004">
      <c r="A14" s="14" t="s">
        <v>22</v>
      </c>
    </row>
    <row r="15" spans="1:10" ht="14.65" thickBot="1" x14ac:dyDescent="0.5">
      <c r="A15" s="13" t="s">
        <v>12</v>
      </c>
      <c r="B15" s="13" t="s">
        <v>14</v>
      </c>
    </row>
    <row r="16" spans="1:10" x14ac:dyDescent="0.45">
      <c r="A16" t="str" cm="1">
        <f t="array" ref="A16:A18">_xlfn.UNIQUE(_xlfn.ANCHORARRAY(B6))</f>
        <v>Software &amp; IT Services</v>
      </c>
      <c r="B16" s="2" cm="1">
        <f t="array" ref="B16:B18">SUMIF(_xlfn.ANCHORARRAY(B6),_xlfn.ANCHORARRAY(A16),_xlfn.ANCHORARRAY(E6))</f>
        <v>4668.7433446927116</v>
      </c>
    </row>
    <row r="17" spans="1:2" x14ac:dyDescent="0.45">
      <c r="A17" t="str">
        <v>Diversified Retail</v>
      </c>
      <c r="B17" s="2">
        <v>1470.5606842100615</v>
      </c>
    </row>
    <row r="18" spans="1:2" x14ac:dyDescent="0.45">
      <c r="A18" t="str">
        <v>Automobiles &amp; Auto Parts</v>
      </c>
      <c r="B18">
        <v>2807.2103488232488</v>
      </c>
    </row>
  </sheetData>
  <mergeCells count="5">
    <mergeCell ref="A1:B1"/>
    <mergeCell ref="F1:G1"/>
    <mergeCell ref="H1:I1"/>
    <mergeCell ref="F5:G5"/>
    <mergeCell ref="H5:I5"/>
  </mergeCells>
  <conditionalFormatting sqref="E6:E12">
    <cfRule type="dataBar" priority="6">
      <dataBar>
        <cfvo type="min"/>
        <cfvo type="max"/>
        <color rgb="FF638EC6"/>
      </dataBar>
      <extLst>
        <ext xmlns:x14="http://schemas.microsoft.com/office/spreadsheetml/2009/9/main" uri="{B025F937-C7B1-47D3-B67F-A62EFF666E3E}">
          <x14:id>{E67359B7-5066-4BDE-B88C-2055B882C1E1}</x14:id>
        </ext>
      </extLst>
    </cfRule>
  </conditionalFormatting>
  <conditionalFormatting sqref="B16:B17">
    <cfRule type="dataBar" priority="1">
      <dataBar>
        <cfvo type="min"/>
        <cfvo type="max"/>
        <color rgb="FF638EC6"/>
      </dataBar>
      <extLst>
        <ext xmlns:x14="http://schemas.microsoft.com/office/spreadsheetml/2009/9/main" uri="{B025F937-C7B1-47D3-B67F-A62EFF666E3E}">
          <x14:id>{11B9C383-FAB5-4321-BB41-868613EEE93E}</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67359B7-5066-4BDE-B88C-2055B882C1E1}">
            <x14:dataBar minLength="0" maxLength="100" border="1" negativeBarBorderColorSameAsPositive="0">
              <x14:cfvo type="autoMin"/>
              <x14:cfvo type="autoMax"/>
              <x14:borderColor rgb="FF638EC6"/>
              <x14:negativeFillColor rgb="FFFF0000"/>
              <x14:negativeBorderColor rgb="FFFF0000"/>
              <x14:axisColor rgb="FF000000"/>
            </x14:dataBar>
          </x14:cfRule>
          <xm:sqref>E6:E12</xm:sqref>
        </x14:conditionalFormatting>
        <x14:conditionalFormatting xmlns:xm="http://schemas.microsoft.com/office/excel/2006/main">
          <x14:cfRule type="dataBar" id="{11B9C383-FAB5-4321-BB41-868613EEE93E}">
            <x14:dataBar minLength="0" maxLength="100" border="1" negativeBarBorderColorSameAsPositive="0">
              <x14:cfvo type="autoMin"/>
              <x14:cfvo type="autoMax"/>
              <x14:borderColor rgb="FF638EC6"/>
              <x14:negativeFillColor rgb="FFFF0000"/>
              <x14:negativeBorderColor rgb="FFFF0000"/>
              <x14:axisColor rgb="FF000000"/>
            </x14:dataBar>
          </x14:cfRule>
          <xm:sqref>B16:B17</xm:sqref>
        </x14:conditionalFormatting>
        <x14:conditionalFormatting xmlns:xm="http://schemas.microsoft.com/office/excel/2006/main">
          <x14:cfRule type="iconSet" priority="2" id="{97B27D35-16DA-4686-98C3-A149CA5CDECB}">
            <x14:iconSet iconSet="3Triangles">
              <x14:cfvo type="percent">
                <xm:f>0</xm:f>
              </x14:cfvo>
              <x14:cfvo type="num">
                <xm:f>0</xm:f>
              </x14:cfvo>
              <x14:cfvo type="num" gte="0">
                <xm:f>0</xm:f>
              </x14:cfvo>
            </x14:iconSet>
          </x14:cfRule>
          <xm:sqref>I2</xm:sqref>
        </x14:conditionalFormatting>
        <x14:conditionalFormatting xmlns:xm="http://schemas.microsoft.com/office/excel/2006/main">
          <x14:cfRule type="iconSet" priority="3" id="{AA0F9B6B-30F2-4CCD-8CE1-40848E295FD5}">
            <x14:iconSet iconSet="3Triangles">
              <x14:cfvo type="percent">
                <xm:f>0</xm:f>
              </x14:cfvo>
              <x14:cfvo type="num">
                <xm:f>0</xm:f>
              </x14:cfvo>
              <x14:cfvo type="num" gte="0">
                <xm:f>0</xm:f>
              </x14:cfvo>
            </x14:iconSet>
          </x14:cfRule>
          <xm:sqref>G2</xm:sqref>
        </x14:conditionalFormatting>
        <x14:conditionalFormatting xmlns:xm="http://schemas.microsoft.com/office/excel/2006/main">
          <x14:cfRule type="iconSet" priority="5" id="{20A64B34-5FF4-4D75-9C24-20AC834E271B}">
            <x14:iconSet iconSet="3Triangles">
              <x14:cfvo type="percent">
                <xm:f>0</xm:f>
              </x14:cfvo>
              <x14:cfvo type="num">
                <xm:f>0</xm:f>
              </x14:cfvo>
              <x14:cfvo type="num" gte="0">
                <xm:f>0</xm:f>
              </x14:cfvo>
            </x14:iconSet>
          </x14:cfRule>
          <xm:sqref>G6:G12</xm:sqref>
        </x14:conditionalFormatting>
        <x14:conditionalFormatting xmlns:xm="http://schemas.microsoft.com/office/excel/2006/main">
          <x14:cfRule type="iconSet" priority="4" id="{A325A357-E162-46A0-A9EC-97D9A572CCFC}">
            <x14:iconSet iconSet="3Triangles">
              <x14:cfvo type="percent">
                <xm:f>0</xm:f>
              </x14:cfvo>
              <x14:cfvo type="num">
                <xm:f>0</xm:f>
              </x14:cfvo>
              <x14:cfvo type="num" gte="0">
                <xm:f>0</xm:f>
              </x14:cfvo>
            </x14:iconSet>
          </x14:cfRule>
          <xm:sqref>I6:I12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875C2-CC3D-45C9-B509-E03EB8AF570F}">
  <sheetPr codeName="Sheet3"/>
  <dimension ref="A1:J18"/>
  <sheetViews>
    <sheetView workbookViewId="0">
      <selection activeCell="D1" sqref="D1:I2"/>
    </sheetView>
  </sheetViews>
  <sheetFormatPr defaultRowHeight="14.25" x14ac:dyDescent="0.45"/>
  <cols>
    <col min="1" max="1" width="34.73046875" customWidth="1"/>
    <col min="2" max="2" width="26.59765625" customWidth="1"/>
    <col min="4" max="4" width="11.3984375" customWidth="1"/>
    <col min="5" max="5" width="14.86328125" customWidth="1"/>
    <col min="6" max="6" width="9.06640625" customWidth="1"/>
    <col min="8" max="8" width="10.1328125" customWidth="1"/>
    <col min="9" max="9" width="11.265625" customWidth="1"/>
    <col min="10" max="10" width="21.265625" customWidth="1"/>
  </cols>
  <sheetData>
    <row r="1" spans="1:10" ht="34.15" customHeight="1" x14ac:dyDescent="0.85">
      <c r="A1" s="40" t="s">
        <v>33</v>
      </c>
      <c r="B1" s="40"/>
      <c r="C1" s="5"/>
      <c r="D1" s="5"/>
      <c r="E1" s="15" t="s">
        <v>17</v>
      </c>
      <c r="F1" s="38" t="s">
        <v>18</v>
      </c>
      <c r="G1" s="38"/>
      <c r="H1" s="39" t="s">
        <v>20</v>
      </c>
      <c r="I1" s="39"/>
      <c r="J1" s="16" t="e" vm="1">
        <v>#VALUE!</v>
      </c>
    </row>
    <row r="2" spans="1:10" x14ac:dyDescent="0.45">
      <c r="A2" s="5"/>
      <c r="B2" s="5"/>
      <c r="C2" s="5"/>
      <c r="D2" s="5"/>
      <c r="E2" s="6">
        <f>SUM(_xlfn.ANCHORARRAY(E6))</f>
        <v>5905.2302564673191</v>
      </c>
      <c r="F2" s="6">
        <f>SUM(_xlfn.ANCHORARRAY(F6))</f>
        <v>83.484554285225272</v>
      </c>
      <c r="G2" s="7">
        <f>F2/(E2-F2)</f>
        <v>1.4340123831574054E-2</v>
      </c>
      <c r="H2" s="6">
        <f>SUM(_xlfn.ANCHORARRAY(H6))</f>
        <v>4021.1526965810931</v>
      </c>
      <c r="I2" s="7" cm="1">
        <f t="array" ref="I2">(E2/SUM(SUMIF(LedSun[Stock],_xlfn.ANCHORARRAY(A6),LedSun[Transaction amount])))-1</f>
        <v>2.134281933077065</v>
      </c>
      <c r="J2" s="8" cm="1">
        <f t="array" ref="J2">_FV(J1,"Price")</f>
        <v>4.4000000000000004</v>
      </c>
    </row>
    <row r="4" spans="1:10" ht="18" x14ac:dyDescent="0.55000000000000004">
      <c r="A4" s="14" t="s">
        <v>1</v>
      </c>
      <c r="B4" s="12"/>
      <c r="C4" s="12"/>
      <c r="D4" s="12"/>
      <c r="E4" s="12"/>
      <c r="F4" s="12"/>
      <c r="G4" s="12"/>
      <c r="H4" s="12"/>
      <c r="I4" s="12"/>
      <c r="J4" s="12"/>
    </row>
    <row r="5" spans="1:10" ht="14.65" thickBot="1" x14ac:dyDescent="0.5">
      <c r="A5" s="13" t="s">
        <v>2</v>
      </c>
      <c r="B5" s="13" t="s">
        <v>12</v>
      </c>
      <c r="C5" s="13" t="s">
        <v>5</v>
      </c>
      <c r="D5" s="13" t="s">
        <v>13</v>
      </c>
      <c r="E5" s="13" t="s">
        <v>14</v>
      </c>
      <c r="F5" s="37" t="s">
        <v>18</v>
      </c>
      <c r="G5" s="37"/>
      <c r="H5" s="37" t="s">
        <v>19</v>
      </c>
      <c r="I5" s="37"/>
      <c r="J5" s="13" t="s">
        <v>16</v>
      </c>
    </row>
    <row r="6" spans="1:10" x14ac:dyDescent="0.45">
      <c r="A6" s="9" t="e" cm="1" vm="2">
        <f t="array" ref="A6:A9">_xlfn._xlws.SORT(_xlfn.UNIQUE(_xlfn._xlws.FILTER(LedSun[Stock],SUMIF(LedSun[Stock],LedSun[Stock],LedSun[Units])&lt;&gt;0)))</f>
        <v>#VALUE!</v>
      </c>
      <c r="B6" s="9" t="str" cm="1">
        <f t="array" ref="B6:B9">_FV(_xlfn.ANCHORARRAY(A6),"Industry")</f>
        <v>Software &amp; IT Services</v>
      </c>
      <c r="C6" s="9" cm="1">
        <f t="array" ref="C6:C9">SUMIF(LedSun[Stock],_xlfn.ANCHORARRAY(A6),LedSun[Units])</f>
        <v>1.279263144428809</v>
      </c>
      <c r="D6" s="10" cm="1">
        <f t="array" ref="D6:D9">_FV(_xlfn.ANCHORARRAY(A6),"Price")</f>
        <v>2157.31</v>
      </c>
      <c r="E6" s="2" cm="1">
        <f t="array" ref="E6:E9">_xlfn.ANCHORARRAY(C6)*_xlfn.ANCHORARRAY(D6)</f>
        <v>2759.7671741077138</v>
      </c>
      <c r="F6" s="2" cm="1">
        <f t="array" ref="F6:F9">(_xlfn.ANCHORARRAY(D6)-_FV(_xlfn.ANCHORARRAY(A6),"Previous close",TRUE))*_xlfn.ANCHORARRAY(C6)</f>
        <v>31.4570807215046</v>
      </c>
      <c r="G6" s="3" cm="1">
        <f t="array" ref="G6:G9">_xlfn.ANCHORARRAY(F6)/(_xlfn.ANCHORARRAY(E6)-_xlfn.ANCHORARRAY(F6))</f>
        <v>1.1529877339735243E-2</v>
      </c>
      <c r="H6" s="10" cm="1">
        <f t="array" ref="H6:H9">-SUMIF(LedSun[Stock],_xlfn.ANCHORARRAY(A6),LedSun[Transaction amount])+_xlfn.ANCHORARRAY(E6)</f>
        <v>2259.7671741077138</v>
      </c>
      <c r="I6" s="11" cm="1">
        <f t="array" ref="I6:I9">(_xlfn.ANCHORARRAY(E6)/SUMIF(LedSun[Stock],_xlfn.ANCHORARRAY(A6),LedSun[Transaction amount]))-1</f>
        <v>4.5195343482154273</v>
      </c>
    </row>
    <row r="7" spans="1:10" x14ac:dyDescent="0.45">
      <c r="A7" t="e" vm="3">
        <v>#VALUE!</v>
      </c>
      <c r="B7" t="str">
        <v>Diversified Retail</v>
      </c>
      <c r="C7">
        <v>1.847489723338414</v>
      </c>
      <c r="D7" s="2">
        <v>106.22</v>
      </c>
      <c r="E7" s="2">
        <v>196.24035841300633</v>
      </c>
      <c r="F7" s="2">
        <v>4.729573691746344</v>
      </c>
      <c r="G7" s="3">
        <v>2.4696121937102085E-2</v>
      </c>
      <c r="H7" s="2">
        <v>96.240358413006334</v>
      </c>
      <c r="I7" s="3">
        <v>0.96240358413006333</v>
      </c>
    </row>
    <row r="8" spans="1:10" x14ac:dyDescent="0.45">
      <c r="A8" t="e" vm="4">
        <v>#VALUE!</v>
      </c>
      <c r="B8" t="str">
        <v>Software &amp; IT Services</v>
      </c>
      <c r="C8">
        <v>1.6647988535023193</v>
      </c>
      <c r="D8" s="2">
        <v>247.65</v>
      </c>
      <c r="E8" s="2">
        <v>412.28743606984938</v>
      </c>
      <c r="F8" s="2">
        <v>4.4616609273862267</v>
      </c>
      <c r="G8" s="3">
        <v>1.0940115116136696E-2</v>
      </c>
      <c r="H8" s="2">
        <v>62.287436069849377</v>
      </c>
      <c r="I8" s="3">
        <v>0.17796410305671251</v>
      </c>
    </row>
    <row r="9" spans="1:10" x14ac:dyDescent="0.45">
      <c r="A9" t="e" vm="5">
        <v>#VALUE!</v>
      </c>
      <c r="B9" t="str">
        <v>Automobiles &amp; Auto Parts</v>
      </c>
      <c r="C9">
        <v>3.9012968073395302</v>
      </c>
      <c r="D9" s="2">
        <v>650.28</v>
      </c>
      <c r="E9" s="2">
        <v>2536.9352878767495</v>
      </c>
      <c r="F9" s="2">
        <v>42.836238944588111</v>
      </c>
      <c r="G9" s="3">
        <v>1.7175035194744281E-2</v>
      </c>
      <c r="H9" s="2">
        <v>1602.8577279905239</v>
      </c>
      <c r="I9" s="3">
        <v>1.7159792685585535</v>
      </c>
    </row>
    <row r="10" spans="1:10" hidden="1" x14ac:dyDescent="0.45">
      <c r="D10" s="2"/>
      <c r="E10" s="2"/>
      <c r="F10" s="2"/>
      <c r="G10" s="3"/>
      <c r="H10" s="2"/>
      <c r="I10" s="3"/>
    </row>
    <row r="11" spans="1:10" hidden="1" x14ac:dyDescent="0.45">
      <c r="D11" s="2"/>
      <c r="E11" s="2"/>
      <c r="F11" s="2"/>
      <c r="G11" s="3"/>
      <c r="H11" s="2"/>
      <c r="I11" s="3"/>
    </row>
    <row r="12" spans="1:10" hidden="1" x14ac:dyDescent="0.45">
      <c r="D12" s="2"/>
      <c r="E12" s="2"/>
      <c r="F12" s="2"/>
      <c r="G12" s="3"/>
      <c r="H12" s="2"/>
      <c r="I12" s="3"/>
    </row>
    <row r="13" spans="1:10" hidden="1" x14ac:dyDescent="0.45"/>
    <row r="14" spans="1:10" ht="18" x14ac:dyDescent="0.55000000000000004">
      <c r="A14" s="14" t="s">
        <v>22</v>
      </c>
    </row>
    <row r="15" spans="1:10" ht="14.65" thickBot="1" x14ac:dyDescent="0.5">
      <c r="A15" s="13" t="s">
        <v>12</v>
      </c>
      <c r="B15" s="13" t="s">
        <v>14</v>
      </c>
    </row>
    <row r="16" spans="1:10" x14ac:dyDescent="0.45">
      <c r="A16" t="str" cm="1">
        <f t="array" ref="A16:A18">_xlfn.UNIQUE(_xlfn.ANCHORARRAY(B6))</f>
        <v>Software &amp; IT Services</v>
      </c>
      <c r="B16" s="2" cm="1">
        <f t="array" ref="B16:B18">SUMIF(_xlfn.ANCHORARRAY(B6),_xlfn.ANCHORARRAY(A16),_xlfn.ANCHORARRAY(E6))</f>
        <v>3172.0546101775631</v>
      </c>
    </row>
    <row r="17" spans="1:2" x14ac:dyDescent="0.45">
      <c r="A17" t="str">
        <v>Diversified Retail</v>
      </c>
      <c r="B17">
        <v>196.24035841300633</v>
      </c>
    </row>
    <row r="18" spans="1:2" x14ac:dyDescent="0.45">
      <c r="A18" t="str">
        <v>Automobiles &amp; Auto Parts</v>
      </c>
      <c r="B18">
        <v>2536.9352878767495</v>
      </c>
    </row>
  </sheetData>
  <mergeCells count="5">
    <mergeCell ref="A1:B1"/>
    <mergeCell ref="F1:G1"/>
    <mergeCell ref="H1:I1"/>
    <mergeCell ref="F5:G5"/>
    <mergeCell ref="H5:I5"/>
  </mergeCells>
  <conditionalFormatting sqref="E6:E12">
    <cfRule type="dataBar" priority="6">
      <dataBar>
        <cfvo type="min"/>
        <cfvo type="max"/>
        <color rgb="FF638EC6"/>
      </dataBar>
      <extLst>
        <ext xmlns:x14="http://schemas.microsoft.com/office/spreadsheetml/2009/9/main" uri="{B025F937-C7B1-47D3-B67F-A62EFF666E3E}">
          <x14:id>{1743A155-B2D7-42C9-8971-B7C8766DE862}</x14:id>
        </ext>
      </extLst>
    </cfRule>
  </conditionalFormatting>
  <conditionalFormatting sqref="B16">
    <cfRule type="dataBar" priority="1">
      <dataBar>
        <cfvo type="min"/>
        <cfvo type="max"/>
        <color rgb="FF638EC6"/>
      </dataBar>
      <extLst>
        <ext xmlns:x14="http://schemas.microsoft.com/office/spreadsheetml/2009/9/main" uri="{B025F937-C7B1-47D3-B67F-A62EFF666E3E}">
          <x14:id>{2B81FE59-F13D-438F-98EC-2289A50E8004}</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743A155-B2D7-42C9-8971-B7C8766DE862}">
            <x14:dataBar minLength="0" maxLength="100" border="1" negativeBarBorderColorSameAsPositive="0">
              <x14:cfvo type="autoMin"/>
              <x14:cfvo type="autoMax"/>
              <x14:borderColor rgb="FF638EC6"/>
              <x14:negativeFillColor rgb="FFFF0000"/>
              <x14:negativeBorderColor rgb="FFFF0000"/>
              <x14:axisColor rgb="FF000000"/>
            </x14:dataBar>
          </x14:cfRule>
          <xm:sqref>E6:E12</xm:sqref>
        </x14:conditionalFormatting>
        <x14:conditionalFormatting xmlns:xm="http://schemas.microsoft.com/office/excel/2006/main">
          <x14:cfRule type="dataBar" id="{2B81FE59-F13D-438F-98EC-2289A50E8004}">
            <x14:dataBar minLength="0" maxLength="100" border="1" negativeBarBorderColorSameAsPositive="0">
              <x14:cfvo type="autoMin"/>
              <x14:cfvo type="autoMax"/>
              <x14:borderColor rgb="FF638EC6"/>
              <x14:negativeFillColor rgb="FFFF0000"/>
              <x14:negativeBorderColor rgb="FFFF0000"/>
              <x14:axisColor rgb="FF000000"/>
            </x14:dataBar>
          </x14:cfRule>
          <xm:sqref>B16</xm:sqref>
        </x14:conditionalFormatting>
        <x14:conditionalFormatting xmlns:xm="http://schemas.microsoft.com/office/excel/2006/main">
          <x14:cfRule type="iconSet" priority="2" id="{173F92BF-3D7A-45AC-8615-A6626BB6504B}">
            <x14:iconSet iconSet="3Triangles">
              <x14:cfvo type="percent">
                <xm:f>0</xm:f>
              </x14:cfvo>
              <x14:cfvo type="num">
                <xm:f>0</xm:f>
              </x14:cfvo>
              <x14:cfvo type="num" gte="0">
                <xm:f>0</xm:f>
              </x14:cfvo>
            </x14:iconSet>
          </x14:cfRule>
          <xm:sqref>I2</xm:sqref>
        </x14:conditionalFormatting>
        <x14:conditionalFormatting xmlns:xm="http://schemas.microsoft.com/office/excel/2006/main">
          <x14:cfRule type="iconSet" priority="3" id="{546CC939-65B0-4C72-9953-15655B037456}">
            <x14:iconSet iconSet="3Triangles">
              <x14:cfvo type="percent">
                <xm:f>0</xm:f>
              </x14:cfvo>
              <x14:cfvo type="num">
                <xm:f>0</xm:f>
              </x14:cfvo>
              <x14:cfvo type="num" gte="0">
                <xm:f>0</xm:f>
              </x14:cfvo>
            </x14:iconSet>
          </x14:cfRule>
          <xm:sqref>G2</xm:sqref>
        </x14:conditionalFormatting>
        <x14:conditionalFormatting xmlns:xm="http://schemas.microsoft.com/office/excel/2006/main">
          <x14:cfRule type="iconSet" priority="5" id="{9812ED1B-17EA-423E-97B6-3185651CFF58}">
            <x14:iconSet iconSet="3Triangles">
              <x14:cfvo type="percent">
                <xm:f>0</xm:f>
              </x14:cfvo>
              <x14:cfvo type="num">
                <xm:f>0</xm:f>
              </x14:cfvo>
              <x14:cfvo type="num" gte="0">
                <xm:f>0</xm:f>
              </x14:cfvo>
            </x14:iconSet>
          </x14:cfRule>
          <xm:sqref>G6:G12</xm:sqref>
        </x14:conditionalFormatting>
        <x14:conditionalFormatting xmlns:xm="http://schemas.microsoft.com/office/excel/2006/main">
          <x14:cfRule type="iconSet" priority="4" id="{ED229581-0F8A-4E0C-9236-6226029DDAA0}">
            <x14:iconSet iconSet="3Triangles">
              <x14:cfvo type="percent">
                <xm:f>0</xm:f>
              </x14:cfvo>
              <x14:cfvo type="num">
                <xm:f>0</xm:f>
              </x14:cfvo>
              <x14:cfvo type="num" gte="0">
                <xm:f>0</xm:f>
              </x14:cfvo>
            </x14:iconSet>
          </x14:cfRule>
          <xm:sqref>I6:I12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429DA-EE6B-4748-B2B0-FE99C8C435DE}">
  <sheetPr codeName="Sheet5"/>
  <dimension ref="A1:J18"/>
  <sheetViews>
    <sheetView workbookViewId="0">
      <selection activeCell="E14" sqref="E14"/>
    </sheetView>
  </sheetViews>
  <sheetFormatPr defaultRowHeight="14.25" x14ac:dyDescent="0.45"/>
  <cols>
    <col min="1" max="1" width="34" customWidth="1"/>
    <col min="2" max="2" width="26.59765625" customWidth="1"/>
    <col min="4" max="4" width="11.3984375" customWidth="1"/>
    <col min="5" max="5" width="14.86328125" customWidth="1"/>
    <col min="8" max="8" width="10.1328125" customWidth="1"/>
    <col min="9" max="9" width="11.265625" customWidth="1"/>
    <col min="10" max="10" width="21.265625" customWidth="1"/>
  </cols>
  <sheetData>
    <row r="1" spans="1:10" ht="34.15" customHeight="1" x14ac:dyDescent="0.85">
      <c r="A1" s="40" t="s">
        <v>32</v>
      </c>
      <c r="B1" s="40"/>
      <c r="C1" s="5"/>
      <c r="D1" s="5"/>
      <c r="E1" s="15" t="s">
        <v>17</v>
      </c>
      <c r="F1" s="38" t="s">
        <v>18</v>
      </c>
      <c r="G1" s="38"/>
      <c r="H1" s="39" t="s">
        <v>20</v>
      </c>
      <c r="I1" s="39"/>
      <c r="J1" s="16" t="e" vm="1">
        <v>#VALUE!</v>
      </c>
    </row>
    <row r="2" spans="1:10" x14ac:dyDescent="0.45">
      <c r="A2" s="5"/>
      <c r="B2" s="5"/>
      <c r="C2" s="5"/>
      <c r="D2" s="5"/>
      <c r="E2" s="6">
        <f>SUM(_xlfn.ANCHORARRAY(E6))</f>
        <v>3098.4368240021627</v>
      </c>
      <c r="F2" s="6">
        <f>SUM(_xlfn.ANCHORARRAY(F6))</f>
        <v>54.373540795399819</v>
      </c>
      <c r="G2" s="7">
        <f>F2/(E2-F2)</f>
        <v>1.7862158482500442E-2</v>
      </c>
      <c r="H2" s="6">
        <f>SUM(_xlfn.ANCHORARRAY(H6))</f>
        <v>716.47354451825083</v>
      </c>
      <c r="I2" s="7" cm="1">
        <f t="array" ref="I2">(E2/SUM(SUMIF(LedMum[Stock],_xlfn.ANCHORARRAY(A6),LedMum[Transaction amount])))-1</f>
        <v>0.30079117956574275</v>
      </c>
      <c r="J2" s="8" cm="1">
        <f t="array" ref="J2">_FV(J1,"Price")</f>
        <v>4.4000000000000004</v>
      </c>
    </row>
    <row r="4" spans="1:10" ht="18" x14ac:dyDescent="0.55000000000000004">
      <c r="A4" s="14" t="s">
        <v>1</v>
      </c>
      <c r="B4" s="12"/>
      <c r="C4" s="12"/>
      <c r="D4" s="12"/>
      <c r="E4" s="12"/>
      <c r="F4" s="12"/>
      <c r="G4" s="12"/>
      <c r="H4" s="12"/>
      <c r="I4" s="12"/>
      <c r="J4" s="12"/>
    </row>
    <row r="5" spans="1:10" ht="14.65" thickBot="1" x14ac:dyDescent="0.5">
      <c r="A5" s="13" t="s">
        <v>2</v>
      </c>
      <c r="B5" s="13" t="s">
        <v>12</v>
      </c>
      <c r="C5" s="13" t="s">
        <v>5</v>
      </c>
      <c r="D5" s="13" t="s">
        <v>13</v>
      </c>
      <c r="E5" s="13" t="s">
        <v>14</v>
      </c>
      <c r="F5" s="37" t="s">
        <v>18</v>
      </c>
      <c r="G5" s="37"/>
      <c r="H5" s="37" t="s">
        <v>19</v>
      </c>
      <c r="I5" s="37"/>
      <c r="J5" s="13" t="s">
        <v>16</v>
      </c>
    </row>
    <row r="6" spans="1:10" x14ac:dyDescent="0.45">
      <c r="A6" s="9" t="e" cm="1" vm="2">
        <f t="array" ref="A6:A9">_xlfn._xlws.SORT(_xlfn.UNIQUE(_xlfn._xlws.FILTER(LedMum[Stock],SUMIF(LedMum[Stock],LedMum[Stock],LedMum[Units])&lt;&gt;0)))</f>
        <v>#VALUE!</v>
      </c>
      <c r="B6" s="9" t="str" cm="1">
        <f t="array" ref="B6:B9">_FV(_xlfn.ANCHORARRAY(A6),"Industry")</f>
        <v>Software &amp; IT Services</v>
      </c>
      <c r="C6" s="9" cm="1">
        <f t="array" ref="C6:C9">SUMIF(LedMum[Stock],_xlfn.ANCHORARRAY(A6),LedMum[Units])</f>
        <v>5.5473372781065088E-2</v>
      </c>
      <c r="D6" s="10" cm="1">
        <f t="array" ref="D6:D9">_FV(_xlfn.ANCHORARRAY(A6),"Price")</f>
        <v>2157.31</v>
      </c>
      <c r="E6" s="2" cm="1">
        <f t="array" ref="E6:E9">_xlfn.ANCHORARRAY(C6)*_xlfn.ANCHORARRAY(D6)</f>
        <v>119.67326183431952</v>
      </c>
      <c r="F6" s="2" cm="1">
        <f t="array" ref="F6:F9">(_xlfn.ANCHORARRAY(D6)-_FV(_xlfn.ANCHORARRAY(A6),"Previous close",TRUE))*_xlfn.ANCHORARRAY(C6)</f>
        <v>1.3640902366863985</v>
      </c>
      <c r="G6" s="3" cm="1">
        <f t="array" ref="G6:G9">_xlfn.ANCHORARRAY(F6)/(_xlfn.ANCHORARRAY(E6)-_xlfn.ANCHORARRAY(F6))</f>
        <v>1.1529877339735243E-2</v>
      </c>
      <c r="H6" s="10" cm="1">
        <f t="array" ref="H6:H9">-SUMIF(LedMum[Stock],_xlfn.ANCHORARRAY(A6),LedMum[Transaction amount])+_xlfn.ANCHORARRAY(E6)</f>
        <v>-30.326738165680482</v>
      </c>
      <c r="I6" s="11" cm="1">
        <f t="array" ref="I6:I9">(_xlfn.ANCHORARRAY(E6)/SUMIF(LedMum[Stock],_xlfn.ANCHORARRAY(A6),LedMum[Transaction amount]))-1</f>
        <v>-0.20217825443786985</v>
      </c>
    </row>
    <row r="7" spans="1:10" x14ac:dyDescent="0.45">
      <c r="A7" t="e" vm="3">
        <v>#VALUE!</v>
      </c>
      <c r="B7" t="str">
        <v>Diversified Retail</v>
      </c>
      <c r="C7">
        <v>9.1475506290717412</v>
      </c>
      <c r="D7" s="2">
        <v>106.22</v>
      </c>
      <c r="E7" s="2">
        <v>971.65282782000031</v>
      </c>
      <c r="F7" s="2">
        <v>23.417729610423677</v>
      </c>
      <c r="G7" s="3">
        <v>2.4696121937102085E-2</v>
      </c>
      <c r="H7" s="2">
        <v>186.57419723616931</v>
      </c>
      <c r="I7" s="3">
        <v>0.23765033204052655</v>
      </c>
    </row>
    <row r="8" spans="1:10" x14ac:dyDescent="0.45">
      <c r="A8" t="e" vm="4">
        <v>#VALUE!</v>
      </c>
      <c r="B8" t="str">
        <v>Software &amp; IT Services</v>
      </c>
      <c r="C8">
        <v>2.8625954198473282</v>
      </c>
      <c r="D8" s="2">
        <v>247.65</v>
      </c>
      <c r="E8" s="2">
        <v>708.92175572519091</v>
      </c>
      <c r="F8" s="2">
        <v>7.6717557251908595</v>
      </c>
      <c r="G8" s="3">
        <v>1.0940115116136698E-2</v>
      </c>
      <c r="H8" s="2">
        <v>108.92175572519091</v>
      </c>
      <c r="I8" s="3">
        <v>0.18153625954198493</v>
      </c>
    </row>
    <row r="9" spans="1:10" x14ac:dyDescent="0.45">
      <c r="A9" t="e" vm="5">
        <v>#VALUE!</v>
      </c>
      <c r="B9" t="str">
        <v>Automobiles &amp; Auto Parts</v>
      </c>
      <c r="C9">
        <v>1.9963538454552685</v>
      </c>
      <c r="D9" s="2">
        <v>650.28</v>
      </c>
      <c r="E9" s="2">
        <v>1298.188978622652</v>
      </c>
      <c r="F9" s="2">
        <v>21.919965223098885</v>
      </c>
      <c r="G9" s="3">
        <v>1.7175035194744281E-2</v>
      </c>
      <c r="H9" s="2">
        <v>451.30432972257108</v>
      </c>
      <c r="I9" s="3">
        <v>0.5328994099830684</v>
      </c>
    </row>
    <row r="10" spans="1:10" x14ac:dyDescent="0.45">
      <c r="D10" s="2"/>
      <c r="E10" s="2"/>
      <c r="F10" s="2"/>
      <c r="G10" s="3"/>
      <c r="H10" s="2"/>
      <c r="I10" s="3"/>
    </row>
    <row r="11" spans="1:10" x14ac:dyDescent="0.45">
      <c r="D11" s="2"/>
      <c r="E11" s="2"/>
      <c r="F11" s="2"/>
      <c r="G11" s="3"/>
      <c r="H11" s="2"/>
      <c r="I11" s="3"/>
    </row>
    <row r="12" spans="1:10" x14ac:dyDescent="0.45">
      <c r="D12" s="2"/>
      <c r="E12" s="2"/>
      <c r="F12" s="2"/>
      <c r="G12" s="3"/>
      <c r="H12" s="2"/>
      <c r="I12" s="3"/>
    </row>
    <row r="14" spans="1:10" ht="18" x14ac:dyDescent="0.55000000000000004">
      <c r="A14" s="14" t="s">
        <v>22</v>
      </c>
    </row>
    <row r="15" spans="1:10" ht="14.65" thickBot="1" x14ac:dyDescent="0.5">
      <c r="A15" s="13" t="s">
        <v>12</v>
      </c>
      <c r="B15" s="13" t="s">
        <v>14</v>
      </c>
    </row>
    <row r="16" spans="1:10" x14ac:dyDescent="0.45">
      <c r="A16" t="str" cm="1">
        <f t="array" ref="A16:A18">_xlfn.UNIQUE(_xlfn.ANCHORARRAY(B6))</f>
        <v>Software &amp; IT Services</v>
      </c>
      <c r="B16" s="2" cm="1">
        <f t="array" ref="B16:B18">SUMIF(_xlfn.ANCHORARRAY(B6),_xlfn.ANCHORARRAY(A16),_xlfn.ANCHORARRAY(E6))</f>
        <v>828.59501755951044</v>
      </c>
    </row>
    <row r="17" spans="1:2" x14ac:dyDescent="0.45">
      <c r="A17" t="str">
        <v>Diversified Retail</v>
      </c>
      <c r="B17" s="2">
        <v>971.65282782000031</v>
      </c>
    </row>
    <row r="18" spans="1:2" x14ac:dyDescent="0.45">
      <c r="A18" t="str">
        <v>Automobiles &amp; Auto Parts</v>
      </c>
      <c r="B18">
        <v>1298.188978622652</v>
      </c>
    </row>
  </sheetData>
  <mergeCells count="5">
    <mergeCell ref="A1:B1"/>
    <mergeCell ref="F1:G1"/>
    <mergeCell ref="H1:I1"/>
    <mergeCell ref="F5:G5"/>
    <mergeCell ref="H5:I5"/>
  </mergeCells>
  <conditionalFormatting sqref="B16:B17">
    <cfRule type="dataBar" priority="1">
      <dataBar>
        <cfvo type="min"/>
        <cfvo type="max"/>
        <color rgb="FF638EC6"/>
      </dataBar>
      <extLst>
        <ext xmlns:x14="http://schemas.microsoft.com/office/spreadsheetml/2009/9/main" uri="{B025F937-C7B1-47D3-B67F-A62EFF666E3E}">
          <x14:id>{89662A38-4D4E-4EC0-94DD-CA7026D4CEE3}</x14:id>
        </ext>
      </extLst>
    </cfRule>
  </conditionalFormatting>
  <conditionalFormatting sqref="E6:E12">
    <cfRule type="dataBar" priority="6">
      <dataBar>
        <cfvo type="min"/>
        <cfvo type="max"/>
        <color rgb="FF638EC6"/>
      </dataBar>
      <extLst>
        <ext xmlns:x14="http://schemas.microsoft.com/office/spreadsheetml/2009/9/main" uri="{B025F937-C7B1-47D3-B67F-A62EFF666E3E}">
          <x14:id>{DBF56527-FFC4-49D5-B3CF-0E4FEF343F0E}</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89662A38-4D4E-4EC0-94DD-CA7026D4CEE3}">
            <x14:dataBar minLength="0" maxLength="100" border="1" negativeBarBorderColorSameAsPositive="0">
              <x14:cfvo type="autoMin"/>
              <x14:cfvo type="autoMax"/>
              <x14:borderColor rgb="FF638EC6"/>
              <x14:negativeFillColor rgb="FFFF0000"/>
              <x14:negativeBorderColor rgb="FFFF0000"/>
              <x14:axisColor rgb="FF000000"/>
            </x14:dataBar>
          </x14:cfRule>
          <xm:sqref>B16:B17</xm:sqref>
        </x14:conditionalFormatting>
        <x14:conditionalFormatting xmlns:xm="http://schemas.microsoft.com/office/excel/2006/main">
          <x14:cfRule type="dataBar" id="{DBF56527-FFC4-49D5-B3CF-0E4FEF343F0E}">
            <x14:dataBar minLength="0" maxLength="100" border="1" negativeBarBorderColorSameAsPositive="0">
              <x14:cfvo type="autoMin"/>
              <x14:cfvo type="autoMax"/>
              <x14:borderColor rgb="FF638EC6"/>
              <x14:negativeFillColor rgb="FFFF0000"/>
              <x14:negativeBorderColor rgb="FFFF0000"/>
              <x14:axisColor rgb="FF000000"/>
            </x14:dataBar>
          </x14:cfRule>
          <xm:sqref>E6:E12</xm:sqref>
        </x14:conditionalFormatting>
        <x14:conditionalFormatting xmlns:xm="http://schemas.microsoft.com/office/excel/2006/main">
          <x14:cfRule type="iconSet" priority="2" id="{DE8D0D3F-3E0A-4EBA-BB96-40B2651B5084}">
            <x14:iconSet iconSet="3Triangles">
              <x14:cfvo type="percent">
                <xm:f>0</xm:f>
              </x14:cfvo>
              <x14:cfvo type="num">
                <xm:f>0</xm:f>
              </x14:cfvo>
              <x14:cfvo type="num" gte="0">
                <xm:f>0</xm:f>
              </x14:cfvo>
            </x14:iconSet>
          </x14:cfRule>
          <xm:sqref>I2</xm:sqref>
        </x14:conditionalFormatting>
        <x14:conditionalFormatting xmlns:xm="http://schemas.microsoft.com/office/excel/2006/main">
          <x14:cfRule type="iconSet" priority="3" id="{F8D53E2C-ADD6-421C-8338-0F95971E1DA5}">
            <x14:iconSet iconSet="3Triangles">
              <x14:cfvo type="percent">
                <xm:f>0</xm:f>
              </x14:cfvo>
              <x14:cfvo type="num">
                <xm:f>0</xm:f>
              </x14:cfvo>
              <x14:cfvo type="num" gte="0">
                <xm:f>0</xm:f>
              </x14:cfvo>
            </x14:iconSet>
          </x14:cfRule>
          <xm:sqref>G2</xm:sqref>
        </x14:conditionalFormatting>
        <x14:conditionalFormatting xmlns:xm="http://schemas.microsoft.com/office/excel/2006/main">
          <x14:cfRule type="iconSet" priority="5" id="{A87593BD-B670-451B-98D3-6874F3B8EDBF}">
            <x14:iconSet iconSet="3Triangles">
              <x14:cfvo type="percent">
                <xm:f>0</xm:f>
              </x14:cfvo>
              <x14:cfvo type="num">
                <xm:f>0</xm:f>
              </x14:cfvo>
              <x14:cfvo type="num" gte="0">
                <xm:f>0</xm:f>
              </x14:cfvo>
            </x14:iconSet>
          </x14:cfRule>
          <xm:sqref>G6:G12</xm:sqref>
        </x14:conditionalFormatting>
        <x14:conditionalFormatting xmlns:xm="http://schemas.microsoft.com/office/excel/2006/main">
          <x14:cfRule type="iconSet" priority="4" id="{3EDF51EA-E689-463D-AC99-3A7A065B8A84}">
            <x14:iconSet iconSet="3Triangles">
              <x14:cfvo type="percent">
                <xm:f>0</xm:f>
              </x14:cfvo>
              <x14:cfvo type="num">
                <xm:f>0</xm:f>
              </x14:cfvo>
              <x14:cfvo type="num" gte="0">
                <xm:f>0</xm:f>
              </x14:cfvo>
            </x14:iconSet>
          </x14:cfRule>
          <xm:sqref>I6:I12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D3085-444C-4F2C-BDDD-DBF769465968}">
  <sheetPr codeName="Sheet6"/>
  <dimension ref="A1:J18"/>
  <sheetViews>
    <sheetView workbookViewId="0">
      <selection activeCell="D24" sqref="D24"/>
    </sheetView>
  </sheetViews>
  <sheetFormatPr defaultRowHeight="14.25" x14ac:dyDescent="0.45"/>
  <cols>
    <col min="1" max="1" width="31.73046875" customWidth="1"/>
    <col min="2" max="2" width="26.59765625" customWidth="1"/>
    <col min="4" max="4" width="11.3984375" customWidth="1"/>
    <col min="5" max="5" width="14.86328125" customWidth="1"/>
    <col min="8" max="8" width="10.1328125" customWidth="1"/>
    <col min="9" max="9" width="11.265625" customWidth="1"/>
    <col min="10" max="10" width="21.265625" customWidth="1"/>
  </cols>
  <sheetData>
    <row r="1" spans="1:10" ht="34.15" customHeight="1" x14ac:dyDescent="0.85">
      <c r="A1" s="40" t="s">
        <v>31</v>
      </c>
      <c r="B1" s="40"/>
      <c r="C1" s="5"/>
      <c r="D1" s="5"/>
      <c r="E1" s="15" t="s">
        <v>17</v>
      </c>
      <c r="F1" s="38" t="s">
        <v>18</v>
      </c>
      <c r="G1" s="38"/>
      <c r="H1" s="39" t="s">
        <v>20</v>
      </c>
      <c r="I1" s="39"/>
      <c r="J1" s="16" t="e" vm="1">
        <v>#VALUE!</v>
      </c>
    </row>
    <row r="2" spans="1:10" x14ac:dyDescent="0.45">
      <c r="A2" s="5"/>
      <c r="B2" s="5"/>
      <c r="C2" s="5"/>
      <c r="D2" s="5"/>
      <c r="E2" s="6">
        <f>SUM(_xlfn.ANCHORARRAY(E6))</f>
        <v>4070.5893497456154</v>
      </c>
      <c r="F2" s="6">
        <f>SUM(_xlfn.ANCHORARRAY(F6))</f>
        <v>70.525711497959719</v>
      </c>
      <c r="G2" s="7">
        <f>F2/(E2-F2)</f>
        <v>1.7631147370659222E-2</v>
      </c>
      <c r="H2" s="6">
        <f>SUM(_xlfn.ANCHORARRAY(H6))</f>
        <v>860.58934974561544</v>
      </c>
      <c r="I2" s="17" cm="1">
        <f t="array" ref="I2">(E2/SUM(SUMIF(LedDad[Stock],_xlfn.ANCHORARRAY(A6),LedDad[Transaction amount])))-1</f>
        <v>0.26809637063726344</v>
      </c>
      <c r="J2" s="8" cm="1">
        <f t="array" ref="J2">_FV(J1,"Price")</f>
        <v>4.4000000000000004</v>
      </c>
    </row>
    <row r="4" spans="1:10" ht="18" x14ac:dyDescent="0.55000000000000004">
      <c r="A4" s="14" t="s">
        <v>1</v>
      </c>
      <c r="B4" s="12"/>
      <c r="C4" s="12"/>
      <c r="D4" s="12"/>
      <c r="E4" s="12"/>
      <c r="F4" s="12"/>
      <c r="G4" s="12"/>
      <c r="H4" s="12"/>
      <c r="I4" s="12"/>
      <c r="J4" s="12"/>
    </row>
    <row r="5" spans="1:10" ht="14.65" thickBot="1" x14ac:dyDescent="0.5">
      <c r="A5" s="13" t="s">
        <v>2</v>
      </c>
      <c r="B5" s="13" t="s">
        <v>12</v>
      </c>
      <c r="C5" s="13" t="s">
        <v>5</v>
      </c>
      <c r="D5" s="13" t="s">
        <v>13</v>
      </c>
      <c r="E5" s="13" t="s">
        <v>14</v>
      </c>
      <c r="F5" s="37" t="s">
        <v>18</v>
      </c>
      <c r="G5" s="37"/>
      <c r="H5" s="37" t="s">
        <v>19</v>
      </c>
      <c r="I5" s="37"/>
      <c r="J5" s="13" t="s">
        <v>16</v>
      </c>
    </row>
    <row r="6" spans="1:10" x14ac:dyDescent="0.45">
      <c r="A6" s="9" t="e" cm="1" vm="2">
        <f t="array" ref="A6:A9">_xlfn._xlws.SORT(_xlfn.UNIQUE(_xlfn._xlws.FILTER(LedDad[Stock],SUMIF(LedDad[Stock],LedDad[Stock],LedDad[Units])&lt;&gt;0)))</f>
        <v>#VALUE!</v>
      </c>
      <c r="B6" s="9" t="str" cm="1">
        <f t="array" ref="B6:B9">_FV(_xlfn.ANCHORARRAY(A6),"Industry")</f>
        <v>Software &amp; IT Services</v>
      </c>
      <c r="C6" s="9" cm="1">
        <f t="array" ref="C6:C9">SUMIF(LedDad[Stock],_xlfn.ANCHORARRAY(A6),LedDad[Units])</f>
        <v>0.17011834319526628</v>
      </c>
      <c r="D6" s="10" cm="1">
        <f t="array" ref="D6:D9">_FV(_xlfn.ANCHORARRAY(A6),"Price")</f>
        <v>2157.31</v>
      </c>
      <c r="E6" s="2" cm="1">
        <f t="array" ref="E6:E9">_xlfn.ANCHORARRAY(C6)*_xlfn.ANCHORARRAY(D6)</f>
        <v>366.99800295857989</v>
      </c>
      <c r="F6" s="2" cm="1">
        <f t="array" ref="F6:F9">(_xlfn.ANCHORARRAY(D6)-_FV(_xlfn.ANCHORARRAY(A6),"Previous close",TRUE))*_xlfn.ANCHORARRAY(C6)</f>
        <v>4.183210059171623</v>
      </c>
      <c r="G6" s="3" cm="1">
        <f t="array" ref="G6:G9">_xlfn.ANCHORARRAY(F6)/(_xlfn.ANCHORARRAY(E6)-_xlfn.ANCHORARRAY(F6))</f>
        <v>1.1529877339735244E-2</v>
      </c>
      <c r="H6" s="10" cm="1">
        <f t="array" ref="H6:H9">-SUMIF(LedDad[Stock],_xlfn.ANCHORARRAY(A6),LedDad[Transaction amount])+_xlfn.ANCHORARRAY(E6)</f>
        <v>-93.001997041420111</v>
      </c>
      <c r="I6" s="30" cm="1">
        <f t="array" ref="I6:I9">(_xlfn.ANCHORARRAY(E6)/SUMIF(LedDad[Stock],_xlfn.ANCHORARRAY(A6),LedDad[Transaction amount]))-1</f>
        <v>-0.20217825443786985</v>
      </c>
    </row>
    <row r="7" spans="1:10" x14ac:dyDescent="0.45">
      <c r="A7" t="e" vm="3">
        <v>#VALUE!</v>
      </c>
      <c r="B7" t="str">
        <v>Diversified Retail</v>
      </c>
      <c r="C7">
        <v>9.1566706345572761</v>
      </c>
      <c r="D7" s="2">
        <v>106.22</v>
      </c>
      <c r="E7" s="2">
        <v>972.62155480267381</v>
      </c>
      <c r="F7" s="2">
        <v>23.441076824466649</v>
      </c>
      <c r="G7" s="3">
        <v>2.4696121937102088E-2</v>
      </c>
      <c r="H7" s="2">
        <v>472.62155480267381</v>
      </c>
      <c r="I7" s="3">
        <v>0.94524310960534752</v>
      </c>
    </row>
    <row r="8" spans="1:10" x14ac:dyDescent="0.45">
      <c r="A8" t="e" vm="4">
        <v>#VALUE!</v>
      </c>
      <c r="B8" t="str">
        <v>Software &amp; IT Services</v>
      </c>
      <c r="C8">
        <v>2.1384783538468848</v>
      </c>
      <c r="D8" s="2">
        <v>247.65</v>
      </c>
      <c r="E8" s="2">
        <v>529.594164330181</v>
      </c>
      <c r="F8" s="2">
        <v>5.731121988309666</v>
      </c>
      <c r="G8" s="3">
        <v>1.0940115116136698E-2</v>
      </c>
      <c r="H8" s="2">
        <v>79.594164330181002</v>
      </c>
      <c r="I8" s="3">
        <v>0.17687592073373559</v>
      </c>
    </row>
    <row r="9" spans="1:10" x14ac:dyDescent="0.45">
      <c r="A9" t="e" vm="5">
        <v>#VALUE!</v>
      </c>
      <c r="B9" t="str">
        <v>Automobiles &amp; Auto Parts</v>
      </c>
      <c r="C9">
        <v>3.3852734632068966</v>
      </c>
      <c r="D9" s="2">
        <v>650.28</v>
      </c>
      <c r="E9" s="2">
        <v>2201.3756276541808</v>
      </c>
      <c r="F9" s="2">
        <v>37.170302626011789</v>
      </c>
      <c r="G9" s="3">
        <v>1.7175035194744285E-2</v>
      </c>
      <c r="H9" s="2">
        <v>401.37562765418079</v>
      </c>
      <c r="I9" s="3">
        <v>0.22298645980787812</v>
      </c>
    </row>
    <row r="10" spans="1:10" x14ac:dyDescent="0.45">
      <c r="D10" s="2"/>
      <c r="E10" s="2"/>
      <c r="F10" s="2"/>
      <c r="G10" s="3"/>
      <c r="H10" s="2"/>
      <c r="I10" s="3"/>
    </row>
    <row r="11" spans="1:10" x14ac:dyDescent="0.45">
      <c r="D11" s="2"/>
      <c r="E11" s="2"/>
      <c r="F11" s="2"/>
      <c r="G11" s="3"/>
      <c r="H11" s="2"/>
      <c r="I11" s="3"/>
    </row>
    <row r="12" spans="1:10" x14ac:dyDescent="0.45">
      <c r="D12" s="2"/>
      <c r="E12" s="2"/>
      <c r="F12" s="2"/>
      <c r="G12" s="3"/>
      <c r="H12" s="2"/>
      <c r="I12" s="3"/>
    </row>
    <row r="14" spans="1:10" ht="18" x14ac:dyDescent="0.55000000000000004">
      <c r="A14" s="14" t="s">
        <v>22</v>
      </c>
    </row>
    <row r="15" spans="1:10" ht="14.65" thickBot="1" x14ac:dyDescent="0.5">
      <c r="A15" s="13" t="s">
        <v>12</v>
      </c>
      <c r="B15" s="13" t="s">
        <v>14</v>
      </c>
    </row>
    <row r="16" spans="1:10" x14ac:dyDescent="0.45">
      <c r="A16" t="str" cm="1">
        <f t="array" ref="A16:A18">_xlfn.UNIQUE(_xlfn.ANCHORARRAY(B6))</f>
        <v>Software &amp; IT Services</v>
      </c>
      <c r="B16" s="2" cm="1">
        <f t="array" ref="B16:B18">SUMIF(_xlfn.ANCHORARRAY(B6),_xlfn.ANCHORARRAY(A16),_xlfn.ANCHORARRAY(E6))</f>
        <v>896.59216728876095</v>
      </c>
    </row>
    <row r="17" spans="1:2" x14ac:dyDescent="0.45">
      <c r="A17" t="str">
        <v>Diversified Retail</v>
      </c>
      <c r="B17" s="2">
        <v>972.62155480267381</v>
      </c>
    </row>
    <row r="18" spans="1:2" x14ac:dyDescent="0.45">
      <c r="A18" t="str">
        <v>Automobiles &amp; Auto Parts</v>
      </c>
      <c r="B18">
        <v>2201.3756276541808</v>
      </c>
    </row>
  </sheetData>
  <mergeCells count="5">
    <mergeCell ref="A1:B1"/>
    <mergeCell ref="F1:G1"/>
    <mergeCell ref="H1:I1"/>
    <mergeCell ref="F5:G5"/>
    <mergeCell ref="H5:I5"/>
  </mergeCells>
  <conditionalFormatting sqref="B16:B17">
    <cfRule type="dataBar" priority="1">
      <dataBar>
        <cfvo type="min"/>
        <cfvo type="max"/>
        <color rgb="FF638EC6"/>
      </dataBar>
      <extLst>
        <ext xmlns:x14="http://schemas.microsoft.com/office/spreadsheetml/2009/9/main" uri="{B025F937-C7B1-47D3-B67F-A62EFF666E3E}">
          <x14:id>{5C84F66C-4B1C-4F7F-A5E3-5478C89C5AA9}</x14:id>
        </ext>
      </extLst>
    </cfRule>
  </conditionalFormatting>
  <conditionalFormatting sqref="E6:E12">
    <cfRule type="dataBar" priority="6">
      <dataBar>
        <cfvo type="min"/>
        <cfvo type="max"/>
        <color rgb="FF638EC6"/>
      </dataBar>
      <extLst>
        <ext xmlns:x14="http://schemas.microsoft.com/office/spreadsheetml/2009/9/main" uri="{B025F937-C7B1-47D3-B67F-A62EFF666E3E}">
          <x14:id>{67884F89-6FC5-4E5F-AC17-83166FE0573D}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C84F66C-4B1C-4F7F-A5E3-5478C89C5AA9}">
            <x14:dataBar minLength="0" maxLength="100" border="1" negativeBarBorderColorSameAsPositive="0">
              <x14:cfvo type="autoMin"/>
              <x14:cfvo type="autoMax"/>
              <x14:borderColor rgb="FF638EC6"/>
              <x14:negativeFillColor rgb="FFFF0000"/>
              <x14:negativeBorderColor rgb="FFFF0000"/>
              <x14:axisColor rgb="FF000000"/>
            </x14:dataBar>
          </x14:cfRule>
          <xm:sqref>B16:B17</xm:sqref>
        </x14:conditionalFormatting>
        <x14:conditionalFormatting xmlns:xm="http://schemas.microsoft.com/office/excel/2006/main">
          <x14:cfRule type="dataBar" id="{67884F89-6FC5-4E5F-AC17-83166FE0573D}">
            <x14:dataBar minLength="0" maxLength="100" border="1" negativeBarBorderColorSameAsPositive="0">
              <x14:cfvo type="autoMin"/>
              <x14:cfvo type="autoMax"/>
              <x14:borderColor rgb="FF638EC6"/>
              <x14:negativeFillColor rgb="FFFF0000"/>
              <x14:negativeBorderColor rgb="FFFF0000"/>
              <x14:axisColor rgb="FF000000"/>
            </x14:dataBar>
          </x14:cfRule>
          <xm:sqref>E6:E12</xm:sqref>
        </x14:conditionalFormatting>
        <x14:conditionalFormatting xmlns:xm="http://schemas.microsoft.com/office/excel/2006/main">
          <x14:cfRule type="iconSet" priority="2" id="{4ACAC02E-4C72-4D6D-815A-55189005B2B0}">
            <x14:iconSet iconSet="3Triangles">
              <x14:cfvo type="percent">
                <xm:f>0</xm:f>
              </x14:cfvo>
              <x14:cfvo type="num">
                <xm:f>0</xm:f>
              </x14:cfvo>
              <x14:cfvo type="num" gte="0">
                <xm:f>0</xm:f>
              </x14:cfvo>
            </x14:iconSet>
          </x14:cfRule>
          <xm:sqref>I2</xm:sqref>
        </x14:conditionalFormatting>
        <x14:conditionalFormatting xmlns:xm="http://schemas.microsoft.com/office/excel/2006/main">
          <x14:cfRule type="iconSet" priority="3" id="{6C10AC81-5FE7-48CB-A78D-D4FD0C0267CE}">
            <x14:iconSet iconSet="3Triangles">
              <x14:cfvo type="percent">
                <xm:f>0</xm:f>
              </x14:cfvo>
              <x14:cfvo type="num">
                <xm:f>0</xm:f>
              </x14:cfvo>
              <x14:cfvo type="num" gte="0">
                <xm:f>0</xm:f>
              </x14:cfvo>
            </x14:iconSet>
          </x14:cfRule>
          <xm:sqref>G2</xm:sqref>
        </x14:conditionalFormatting>
        <x14:conditionalFormatting xmlns:xm="http://schemas.microsoft.com/office/excel/2006/main">
          <x14:cfRule type="iconSet" priority="5" id="{B5847F26-CC15-4537-A7B2-1D8275252538}">
            <x14:iconSet iconSet="3Triangles">
              <x14:cfvo type="percent">
                <xm:f>0</xm:f>
              </x14:cfvo>
              <x14:cfvo type="num">
                <xm:f>0</xm:f>
              </x14:cfvo>
              <x14:cfvo type="num" gte="0">
                <xm:f>0</xm:f>
              </x14:cfvo>
            </x14:iconSet>
          </x14:cfRule>
          <xm:sqref>G6:G12</xm:sqref>
        </x14:conditionalFormatting>
        <x14:conditionalFormatting xmlns:xm="http://schemas.microsoft.com/office/excel/2006/main">
          <x14:cfRule type="iconSet" priority="4" id="{88C44326-38A1-4913-B61B-B1B2446BA51B}">
            <x14:iconSet iconSet="3Triangles">
              <x14:cfvo type="percent">
                <xm:f>0</xm:f>
              </x14:cfvo>
              <x14:cfvo type="num">
                <xm:f>0</xm:f>
              </x14:cfvo>
              <x14:cfvo type="num" gte="0">
                <xm:f>0</xm:f>
              </x14:cfvo>
            </x14:iconSet>
          </x14:cfRule>
          <xm:sqref>I6:I12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Overall</vt:lpstr>
      <vt:lpstr>Ledger</vt:lpstr>
      <vt:lpstr>Jake</vt:lpstr>
      <vt:lpstr>Charles</vt:lpstr>
      <vt:lpstr>Rosa</vt:lpstr>
      <vt:lpstr>Terry</vt:lpstr>
      <vt:lpstr>Ledger!Criteria</vt:lpstr>
      <vt:lpstr>Ledger!Extract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Ranvir Singh</dc:creator>
  <cp:lastModifiedBy>Ranvir Singh</cp:lastModifiedBy>
  <dcterms:created xsi:type="dcterms:W3CDTF">2021-07-18T22:47:35Z</dcterms:created>
  <dcterms:modified xsi:type="dcterms:W3CDTF">2022-06-20T19:34:34Z</dcterms:modified>
</cp:coreProperties>
</file>